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rien RAFFRAY\Proton Drive\adrienraffray\My files\Sites internet\"/>
    </mc:Choice>
  </mc:AlternateContent>
  <xr:revisionPtr revIDLastSave="0" documentId="13_ncr:1_{B830340F-B8D0-4B38-89C1-2A2DED3C5CDD}" xr6:coauthVersionLast="47" xr6:coauthVersionMax="47" xr10:uidLastSave="{00000000-0000-0000-0000-000000000000}"/>
  <bookViews>
    <workbookView xWindow="-120" yWindow="-120" windowWidth="29040" windowHeight="15720" tabRatio="500" xr2:uid="{00000000-000D-0000-FFFF-FFFF00000000}"/>
  </bookViews>
  <sheets>
    <sheet name="Stations" sheetId="1" r:id="rId1"/>
    <sheet name="Synthèse" sheetId="2" r:id="rId2"/>
    <sheet name="Paramètres" sheetId="3" r:id="rId3"/>
  </sheets>
  <definedNames>
    <definedName name="_xlnm._FilterDatabase" localSheetId="0" hidden="1">Stations!$A$1:$AE$286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<sst xmlns="http://schemas.openxmlformats.org/spreadsheetml/2006/main" count="3513" uniqueCount="1584">
  <si>
    <t>Station</t>
  </si>
  <si>
    <t>Type</t>
  </si>
  <si>
    <t>Massif</t>
  </si>
  <si>
    <t>Département</t>
  </si>
  <si>
    <t>Code postal</t>
  </si>
  <si>
    <t>Commune</t>
  </si>
  <si>
    <t>Code INSEE</t>
  </si>
  <si>
    <t>Statut d'activité</t>
  </si>
  <si>
    <t>Latitude</t>
  </si>
  <si>
    <t>Longitude</t>
  </si>
  <si>
    <t>Distance Paris (km)</t>
  </si>
  <si>
    <t>Altitude village (m)</t>
  </si>
  <si>
    <t>Domaine skiable</t>
  </si>
  <si>
    <t>Bas des pistes (m)</t>
  </si>
  <si>
    <t>Haut des pistes (m)</t>
  </si>
  <si>
    <t>Dénivelé skiable (m)</t>
  </si>
  <si>
    <t>Altitude médiane des pistes (m)</t>
  </si>
  <si>
    <t>Pistes ≥ 2 000 m (% des km)</t>
  </si>
  <si>
    <t>Pistes du domaine (km)</t>
  </si>
  <si>
    <t>Nombre de pistes</t>
  </si>
  <si>
    <t>Remontées mécaniques</t>
  </si>
  <si>
    <t>Pistes vertes</t>
  </si>
  <si>
    <t>Pistes bleues</t>
  </si>
  <si>
    <t>Pistes rouges</t>
  </si>
  <si>
    <t>Pistes noires</t>
  </si>
  <si>
    <t>Non classées / freeride</t>
  </si>
  <si>
    <t>Distance station-pistes (km)</t>
  </si>
  <si>
    <t>Km de pistes (France Montagnes)</t>
  </si>
  <si>
    <t>Réservation officielle (URL)</t>
  </si>
  <si>
    <t>Moteur de réservation</t>
  </si>
  <si>
    <t>Plan des pistes (PDF)</t>
  </si>
  <si>
    <t>ID domaine OpenSkiMap</t>
  </si>
  <si>
    <t>Fiche France Montagnes</t>
  </si>
  <si>
    <t>Abondance</t>
  </si>
  <si>
    <t>Station (France Montagnes)</t>
  </si>
  <si>
    <t>Alpes du Nord</t>
  </si>
  <si>
    <t>Haute-Savoie</t>
  </si>
  <si>
    <t>74360</t>
  </si>
  <si>
    <t>74001</t>
  </si>
  <si>
    <t>En activité</t>
  </si>
  <si>
    <t>Portes du Soleil (versant français)</t>
  </si>
  <si>
    <t>d2b0e7c59ecf744d36ed6af54c15743910092fe2</t>
  </si>
  <si>
    <t>https://www.france-montagnes.com/sit/abondance-29204/</t>
  </si>
  <si>
    <t>Aillons-Margeriaz</t>
  </si>
  <si>
    <t>Savoie</t>
  </si>
  <si>
    <t>73340</t>
  </si>
  <si>
    <t>Aillon-le-Jeune</t>
  </si>
  <si>
    <t>73004</t>
  </si>
  <si>
    <t>Aillon-Margériaz</t>
  </si>
  <si>
    <t>df9a26b589d512af30d78fa6ad55e745a3a677e3</t>
  </si>
  <si>
    <t>https://www.france-montagnes.com/sit/aillons-margeriaz-28418/</t>
  </si>
  <si>
    <t>Aime 2000</t>
  </si>
  <si>
    <t>73210</t>
  </si>
  <si>
    <t>Aime-la-Plagne</t>
  </si>
  <si>
    <t>73006</t>
  </si>
  <si>
    <t>Paradiski (Les Arcs – La Plagne)</t>
  </si>
  <si>
    <t>https://www.laplagneresort.com/</t>
  </si>
  <si>
    <t>Ceto / Orchestra</t>
  </si>
  <si>
    <t>dec537b602584db89d89ab114a619f1ae356398e</t>
  </si>
  <si>
    <t>Albiez Montrond</t>
  </si>
  <si>
    <t>73300</t>
  </si>
  <si>
    <t>Albiez-Montrond</t>
  </si>
  <si>
    <t>73013</t>
  </si>
  <si>
    <t>https://www.montagnicimes.com/albiez/</t>
  </si>
  <si>
    <t>https://anmsm.media.tourinsoft.eu/upload/Plan-pistes---Albiez-hiver-2023-2024.pdf</t>
  </si>
  <si>
    <t>78779b860e6b70a1d8e64ddb7cb458cedd26d005</t>
  </si>
  <si>
    <t>https://www.france-montagnes.com/sit/albiez-montrond-statanmsm2v500ql1/</t>
  </si>
  <si>
    <t>Alpe D'Huez</t>
  </si>
  <si>
    <t>Isère</t>
  </si>
  <si>
    <t>38750</t>
  </si>
  <si>
    <t>Huez</t>
  </si>
  <si>
    <t>38191</t>
  </si>
  <si>
    <t>Alpe d'Huez Grand Domaine</t>
  </si>
  <si>
    <t>https://reservation.alpedhuez.com/?user-facet=winter</t>
  </si>
  <si>
    <t>Ublo (ex-Valraiso/MSEM)</t>
  </si>
  <si>
    <t>https://anmsm.media.tourinsoft.eu/upload/Alpe-d-huez-Alpin-2026.pdf</t>
  </si>
  <si>
    <t>721dd142d0af653027c7569e1bd0799586bdefa1</t>
  </si>
  <si>
    <t>https://www.france-montagnes.com/sit/alpe-dhuez-statanmsm01380001/</t>
  </si>
  <si>
    <t>Alpe Du Grand-Serre</t>
  </si>
  <si>
    <t>38350</t>
  </si>
  <si>
    <t>La Morte</t>
  </si>
  <si>
    <t>38264</t>
  </si>
  <si>
    <t>En activité, avenir fragile</t>
  </si>
  <si>
    <t>L'Alpe du Grand Serre</t>
  </si>
  <si>
    <t>https://www.matheysine-tourisme.com/fr/alpedugrandserre/</t>
  </si>
  <si>
    <t>Open System</t>
  </si>
  <si>
    <t>https://anmsm.media.tourinsoft.eu/upload/380002-09.jpg</t>
  </si>
  <si>
    <t>c0e65ff5494198c3e504ff30257b990d92b29cfc</t>
  </si>
  <si>
    <t>https://www.france-montagnes.com/sit/alpe-du-grand-serre-statanmsm01380002/</t>
  </si>
  <si>
    <t>Arc 1600</t>
  </si>
  <si>
    <t>73700</t>
  </si>
  <si>
    <t>Bourg-Saint-Maurice</t>
  </si>
  <si>
    <t>73054</t>
  </si>
  <si>
    <t>https://www.lesarcs.com/</t>
  </si>
  <si>
    <t>Arc 1800</t>
  </si>
  <si>
    <t>Arc 1950</t>
  </si>
  <si>
    <t>Arc 2000</t>
  </si>
  <si>
    <t>Areches Beaufort</t>
  </si>
  <si>
    <t>73270</t>
  </si>
  <si>
    <t>Beaufort</t>
  </si>
  <si>
    <t>73034</t>
  </si>
  <si>
    <t>Arêches Beaufort</t>
  </si>
  <si>
    <t>https://reservation.areches-beaufort.com/</t>
  </si>
  <si>
    <t>Ingénie / Genius</t>
  </si>
  <si>
    <t>https://anmsm.media.tourinsoft.eu/upload/Plan-des-pistes-23-24-BD.pdf</t>
  </si>
  <si>
    <t>57b39abafcecc675add3a21c7b78bcda579aee64</t>
  </si>
  <si>
    <t>https://www.france-montagnes.com/sit/areches-beaufort-statanmsm01730002/</t>
  </si>
  <si>
    <t>Argentière</t>
  </si>
  <si>
    <t>74400</t>
  </si>
  <si>
    <t>Chamonix-Mont-Blanc</t>
  </si>
  <si>
    <t>74056</t>
  </si>
  <si>
    <t>Les Grands Montets</t>
  </si>
  <si>
    <t>77817eafde1b8d56ca0716d7a207b6c92d01743c</t>
  </si>
  <si>
    <t>https://www.france-montagnes.com/sit/argentiere-570552/</t>
  </si>
  <si>
    <t>Auris en Oisans</t>
  </si>
  <si>
    <t>38142</t>
  </si>
  <si>
    <t>Le Freney-d'Oisans</t>
  </si>
  <si>
    <t>38173</t>
  </si>
  <si>
    <t>Les Deux Alpes</t>
  </si>
  <si>
    <t>5bd589496339e89cf9be3d93c86e7e6c41f72208</t>
  </si>
  <si>
    <t>https://www.france-montagnes.com/sit/auris-en-oisans-28430/</t>
  </si>
  <si>
    <t>Aussois</t>
  </si>
  <si>
    <t>73500</t>
  </si>
  <si>
    <t>73023</t>
  </si>
  <si>
    <t>Espace Haute Maurienne Vanoise</t>
  </si>
  <si>
    <t>https://reservation.haute-maurienne-vanoise.com/ac62-aussois.htm</t>
  </si>
  <si>
    <t>https://anmsm.media.tourinsoft.eu/upload/aussois-ge-une-ural-2016e.pdf</t>
  </si>
  <si>
    <t>44ee1a2c1392b07916bca601bb15230dca87e420</t>
  </si>
  <si>
    <t>https://www.france-montagnes.com/sit/aussois-statanmsm01730003/</t>
  </si>
  <si>
    <t>Autrans Méaudres en Vercors</t>
  </si>
  <si>
    <t>38880</t>
  </si>
  <si>
    <t>Autrans-Méaudre en Vercors</t>
  </si>
  <si>
    <t>38225</t>
  </si>
  <si>
    <t>Domaine Autrans - Méaudre</t>
  </si>
  <si>
    <t>c4fe645047e06c17f033f3092f88a83b9f7012e2</t>
  </si>
  <si>
    <t>https://www.france-montagnes.com/sit/autrans-meaudres-en-vercors-28439/</t>
  </si>
  <si>
    <t>Avoriaz 1800</t>
  </si>
  <si>
    <t>74110</t>
  </si>
  <si>
    <t>Morzine</t>
  </si>
  <si>
    <t>74191</t>
  </si>
  <si>
    <t>https://reservation.avoriaz.com/</t>
  </si>
  <si>
    <t>https://www.france-montagnes.com/sit/avoriaz-1800-28442/</t>
  </si>
  <si>
    <t>Belle Plagne</t>
  </si>
  <si>
    <t>La Plagne Tarentaise</t>
  </si>
  <si>
    <t>73150</t>
  </si>
  <si>
    <t>Bernex</t>
  </si>
  <si>
    <t>74500</t>
  </si>
  <si>
    <t>74033</t>
  </si>
  <si>
    <t>https://www.bernexstation.fr/fr/</t>
  </si>
  <si>
    <t>Eliberty</t>
  </si>
  <si>
    <t>https://anmsm.media.tourinsoft.eu/upload/Plan-pistes-Bernex-H-19-20internet2.pdf</t>
  </si>
  <si>
    <t>19b6e308caa6766b21cb00e4fb40a82c4ee1f95b</t>
  </si>
  <si>
    <t>https://www.france-montagnes.com/sit/bernex-statanmsm01740063/</t>
  </si>
  <si>
    <t>Bessans</t>
  </si>
  <si>
    <t>73480</t>
  </si>
  <si>
    <t>73040</t>
  </si>
  <si>
    <t>https://www.france-montagnes.com/sit/bessans-28448/</t>
  </si>
  <si>
    <t>Bisanne 1500</t>
  </si>
  <si>
    <t>Village-station</t>
  </si>
  <si>
    <t>Villard-sur-Doron</t>
  </si>
  <si>
    <t>73317</t>
  </si>
  <si>
    <t>Espace Diamant</t>
  </si>
  <si>
    <t>https://reservation.lessaisies.com/</t>
  </si>
  <si>
    <t>0345d73f7a4bf0f49815ccb16306a3ec6371544b</t>
  </si>
  <si>
    <t>Bonneval Sur Arc</t>
  </si>
  <si>
    <t>Bonneval-sur-Arc</t>
  </si>
  <si>
    <t>73047</t>
  </si>
  <si>
    <t>https://reservation.haute-maurienne-vanoise.com/ac64-bonneval-sur-arc.htm</t>
  </si>
  <si>
    <t>https://anmsm.media.tourinsoft.eu/upload/730005-09.jpg</t>
  </si>
  <si>
    <t>https://www.france-montagnes.com/sit/bonneval-sur-arc-statanmsm01730005/</t>
  </si>
  <si>
    <t>Brides Les Bains</t>
  </si>
  <si>
    <t>73570</t>
  </si>
  <si>
    <t>Brides-les-Bains</t>
  </si>
  <si>
    <t>73057</t>
  </si>
  <si>
    <t>Les Trois Vallées</t>
  </si>
  <si>
    <t>https://brides-les-bains.secureticket.fr/provider/choisirsingleprovider</t>
  </si>
  <si>
    <t>https://anmsm.media.tourinsoft.eu/upload/730007-09.jpg</t>
  </si>
  <si>
    <t>68b126bc3175516c9263aed7635d14e37ff360dc</t>
  </si>
  <si>
    <t>https://www.france-montagnes.com/sit/brides-les-bains-statanmsm01730007/</t>
  </si>
  <si>
    <t>Chamonix Mont-Blanc</t>
  </si>
  <si>
    <t>Brévent/Flégère (Chamonix)</t>
  </si>
  <si>
    <t>https://booking.chamonix.com/fr/</t>
  </si>
  <si>
    <t>8432e3c536835ef8a690f63b62060a7993bfd964</t>
  </si>
  <si>
    <t>https://www.france-montagnes.com/sit/chamonix-mont-blanc-28466/</t>
  </si>
  <si>
    <t>https://www.france-montagnes.com/sit/chamonix-mont-blanc-statanmsm2v505kop/</t>
  </si>
  <si>
    <t>Champagny En Vanoise</t>
  </si>
  <si>
    <t>73350</t>
  </si>
  <si>
    <t>Champagny-en-Vanoise</t>
  </si>
  <si>
    <t>73071</t>
  </si>
  <si>
    <t>https://anmsm.media.tourinsoft.eu/upload/PlanPistesParadiski.pdf</t>
  </si>
  <si>
    <t>https://www.france-montagnes.com/sit/champagny-en-vanoise-statanmsm01730009/</t>
  </si>
  <si>
    <t>Chamrousse</t>
  </si>
  <si>
    <t>38410</t>
  </si>
  <si>
    <t>38567</t>
  </si>
  <si>
    <t>https://www.chamrousse.com/hiver</t>
  </si>
  <si>
    <t>https://anmsm.media.tourinsoft.eu/upload/PLAN-PISTES-2024-25-web.pdf</t>
  </si>
  <si>
    <t>cf35c277ce2147943aff2aaa620572cc647a2a1d</t>
  </si>
  <si>
    <t>https://www.france-montagnes.com/sit/chamrousse-statanmsm01380005/</t>
  </si>
  <si>
    <t>Chamrousse 1650</t>
  </si>
  <si>
    <t>Chamrousse 1750</t>
  </si>
  <si>
    <t>Chapelle d'Abondance</t>
  </si>
  <si>
    <t>La Chapelle-d'Abondance</t>
  </si>
  <si>
    <t>74058</t>
  </si>
  <si>
    <t>https://www.france-montagnes.com/sit/chapelle-dabondance-29207/</t>
  </si>
  <si>
    <t>Châtel</t>
  </si>
  <si>
    <t>74390</t>
  </si>
  <si>
    <t>74063</t>
  </si>
  <si>
    <t>https://www.france-montagnes.com/sit/chatel-28475/</t>
  </si>
  <si>
    <t>Col d'Ornon</t>
  </si>
  <si>
    <t>38520</t>
  </si>
  <si>
    <t>Ornon</t>
  </si>
  <si>
    <t>38285</t>
  </si>
  <si>
    <t>Domaine Alpin du Col d'Ornon</t>
  </si>
  <si>
    <t>cfbdf0c0870e8baf8c048438de3175df84e88082</t>
  </si>
  <si>
    <t>https://www.france-montagnes.com/sit/col-dornon-28976/</t>
  </si>
  <si>
    <t>Col de l'Arzelier</t>
  </si>
  <si>
    <t>38650</t>
  </si>
  <si>
    <t>Château-Bernard</t>
  </si>
  <si>
    <t>38090</t>
  </si>
  <si>
    <t>a6471e912c17be98423d028110f4aa1ac55c1091</t>
  </si>
  <si>
    <t>https://www.france-montagnes.com/sit/col-de-larzelier-28994/</t>
  </si>
  <si>
    <t>Col du Rousset</t>
  </si>
  <si>
    <t>Drôme</t>
  </si>
  <si>
    <t>26420</t>
  </si>
  <si>
    <t>Saint-Agnan-en-Vercors</t>
  </si>
  <si>
    <t>26290</t>
  </si>
  <si>
    <t>Station du Col de Rousset</t>
  </si>
  <si>
    <t>02707553d2b91ea36905797a8d6d66489860161d</t>
  </si>
  <si>
    <t>https://www.france-montagnes.com/sit/col-du-rousset-28982/</t>
  </si>
  <si>
    <t>Combloux</t>
  </si>
  <si>
    <t>74920</t>
  </si>
  <si>
    <t>74083</t>
  </si>
  <si>
    <t>Les Portes du Mont-Blanc</t>
  </si>
  <si>
    <t>https://reservation.combloux.com/?lang=fr_FR</t>
  </si>
  <si>
    <t>https://anmsm.media.tourinsoft.eu/upload/plan-piste-portes-mont-blanc-web.pdf</t>
  </si>
  <si>
    <t>aa87548d9445d366123e7ef7aee40af9d4a78dff</t>
  </si>
  <si>
    <t>https://www.france-montagnes.com/sit/combloux-statanmsm01740009/</t>
  </si>
  <si>
    <t>Cordon</t>
  </si>
  <si>
    <t>74700</t>
  </si>
  <si>
    <t>74089</t>
  </si>
  <si>
    <t>https://www.france-montagnes.com/sit/cordon-29267/</t>
  </si>
  <si>
    <t>Courchevel</t>
  </si>
  <si>
    <t>73120</t>
  </si>
  <si>
    <t>73227</t>
  </si>
  <si>
    <t>https://reservation.courchevel.com/?lang=fr_FR</t>
  </si>
  <si>
    <t>https://anmsm.media.tourinsoft.eu/upload/Panorama-Courchevel-2015-2016-V8--BAT5-.pdf</t>
  </si>
  <si>
    <t>https://www.france-montagnes.com/sit/courchevel-statanmsm01730010/</t>
  </si>
  <si>
    <t>Courchevel Le Praz</t>
  </si>
  <si>
    <t>Courchevel Moriond 1650</t>
  </si>
  <si>
    <t>Courchevel Village 1550</t>
  </si>
  <si>
    <t>Crest-Voland Cohennoz</t>
  </si>
  <si>
    <t>73590</t>
  </si>
  <si>
    <t>Crest-Voland</t>
  </si>
  <si>
    <t>73094</t>
  </si>
  <si>
    <t>https://www.valdarly-montblanc.com/villages-stations/crest-voland-cohennoz/</t>
  </si>
  <si>
    <t>https://anmsm.media.tourinsoft.eu/upload/PLAN-PISTES-ZONES-CVC---ED.pdf</t>
  </si>
  <si>
    <t>https://www.france-montagnes.com/sit/crest-voland-cohennoz-statanmsm01730070/</t>
  </si>
  <si>
    <t>Espace Roc d'Enfer</t>
  </si>
  <si>
    <t>74430</t>
  </si>
  <si>
    <t>Saint-Jean-d'Aulps</t>
  </si>
  <si>
    <t>74238</t>
  </si>
  <si>
    <t>https://www.france-montagnes.com/sit/espace-roc-denfer-29324/</t>
  </si>
  <si>
    <t>Flaine</t>
  </si>
  <si>
    <t>74300</t>
  </si>
  <si>
    <t>Arâches-la-Frasse</t>
  </si>
  <si>
    <t>74014</t>
  </si>
  <si>
    <t>Le Grand Massif</t>
  </si>
  <si>
    <t>efaa82d7ae8e42868f19ed2abb8001f518a404d0</t>
  </si>
  <si>
    <t>https://www.france-montagnes.com/sit/flaine-28487/</t>
  </si>
  <si>
    <t>Flumet - Saint Nicolas La Chapelle</t>
  </si>
  <si>
    <t>Flumet</t>
  </si>
  <si>
    <t>73114</t>
  </si>
  <si>
    <t>https://www.valdarly-montblanc.com/villages-stations/flumet-st-nicolas-la-chapelle/</t>
  </si>
  <si>
    <t>https://www.france-montagnes.com/sit/flumet-saint-nicolas-la-chapelle-statanmsm2v50090r/</t>
  </si>
  <si>
    <t>Fond d'Urle</t>
  </si>
  <si>
    <t>26190</t>
  </si>
  <si>
    <t>Bouvante</t>
  </si>
  <si>
    <t>26059</t>
  </si>
  <si>
    <t>Font d'Urle Chaud Clapier</t>
  </si>
  <si>
    <t>1d00a3f356e6ee869926e23d9a9457cdc5f9eebf</t>
  </si>
  <si>
    <t>https://www.france-montagnes.com/sit/fond-durle-29297/</t>
  </si>
  <si>
    <t>Gresse en Vercors</t>
  </si>
  <si>
    <t>Gresse-en-Vercors</t>
  </si>
  <si>
    <t>38186</t>
  </si>
  <si>
    <t>4e191d9772e06e056666aa69ec7b0aebe400b24b</t>
  </si>
  <si>
    <t>https://www.france-montagnes.com/sit/gresse-en-vercors-28979/</t>
  </si>
  <si>
    <t>Habère Poche</t>
  </si>
  <si>
    <t>74420</t>
  </si>
  <si>
    <t>Habère-Poche</t>
  </si>
  <si>
    <t>74140</t>
  </si>
  <si>
    <t>Hirmentaz - Les Habères</t>
  </si>
  <si>
    <t>28bc6b32b26b2c57edacb1c31e4ebdc1ec6e518f</t>
  </si>
  <si>
    <t>https://www.france-montagnes.com/sit/habere-poche-29258/</t>
  </si>
  <si>
    <t>Haut Giffre</t>
  </si>
  <si>
    <t>74740</t>
  </si>
  <si>
    <t>Sixt-Fer-à-Cheval</t>
  </si>
  <si>
    <t>74273</t>
  </si>
  <si>
    <t>https://www.france-montagnes.com/sit/haut-giffre-29192/</t>
  </si>
  <si>
    <t>Hauteluce Val Joly</t>
  </si>
  <si>
    <t>73620</t>
  </si>
  <si>
    <t>Hauteluce</t>
  </si>
  <si>
    <t>73132</t>
  </si>
  <si>
    <t>Les Contamines</t>
  </si>
  <si>
    <t>10f2ef5a778b65fdea26f0662b08e83c8b979356</t>
  </si>
  <si>
    <t>https://www.france-montagnes.com/sit/hauteluce-val-joly-29162/</t>
  </si>
  <si>
    <t>Hirmentaz</t>
  </si>
  <si>
    <t>74470</t>
  </si>
  <si>
    <t>Bellevaux</t>
  </si>
  <si>
    <t>74032</t>
  </si>
  <si>
    <t>https://www.france-montagnes.com/sit/hirmentaz-570526/</t>
  </si>
  <si>
    <t>La Clusaz</t>
  </si>
  <si>
    <t>74220</t>
  </si>
  <si>
    <t>74080</t>
  </si>
  <si>
    <t>https://www.laclusaz.com/</t>
  </si>
  <si>
    <t>https://anmsm.media.tourinsoft.eu/upload/PLAN-Laclusaz-2023-6.pdf</t>
  </si>
  <si>
    <t>9cb83fdd2a49011eec76e3d1bbc2af8f582888a9</t>
  </si>
  <si>
    <t>https://www.france-montagnes.com/sit/la-clusaz-statanmsm01740014/</t>
  </si>
  <si>
    <t>La Daille</t>
  </si>
  <si>
    <t>Val-d'Isère</t>
  </si>
  <si>
    <t>73304</t>
  </si>
  <si>
    <t>Tignes - Val d'Isère</t>
  </si>
  <si>
    <t>https://reservation.valdisere.com/</t>
  </si>
  <si>
    <t>32dd7f13640a64baef6c2ff8bca5f2b88e7a4b0d</t>
  </si>
  <si>
    <t>La Giettaz</t>
  </si>
  <si>
    <t>73123</t>
  </si>
  <si>
    <t>https://www.valdarly-montblanc.com/villages-stations/la-giettaz-en-aravis/</t>
  </si>
  <si>
    <t>https://anmsm.media.tourinsoft.eu/upload/PLAN-des-PISTES-24-25-web3.pdf</t>
  </si>
  <si>
    <t>https://www.france-montagnes.com/sit/la-giettaz-statanmsm2v50090s/</t>
  </si>
  <si>
    <t>La Motte d'Aveillans</t>
  </si>
  <si>
    <t>38770</t>
  </si>
  <si>
    <t>La Motte-d'Aveillans</t>
  </si>
  <si>
    <t>38265</t>
  </si>
  <si>
    <t>Les Signaraux</t>
  </si>
  <si>
    <t>d881e086bdedffcf5d8b3cbb52af93f2e1684110</t>
  </si>
  <si>
    <t>https://www.france-montagnes.com/sit/la-motte-daveillans-28961/</t>
  </si>
  <si>
    <t>La Norma</t>
  </si>
  <si>
    <t>Villarodin-Bourget</t>
  </si>
  <si>
    <t>73322</t>
  </si>
  <si>
    <t>https://reservation.haute-maurienne-vanoise.com/ac54-la-norma.htm</t>
  </si>
  <si>
    <t>https://anmsm.media.tourinsoft.eu/upload/Plan-pistes-la-Norma-2025-26.jpg</t>
  </si>
  <si>
    <t>https://www.france-montagnes.com/sit/la-norma-statanmsm01730015/</t>
  </si>
  <si>
    <t>La Plagne</t>
  </si>
  <si>
    <t>https://anmsm.media.tourinsoft.eu/upload/PlanPistesParadiski2026-compressed.pdf</t>
  </si>
  <si>
    <t>Plagne Centre</t>
  </si>
  <si>
    <t>https://www.france-montagnes.com/sit/la-plagne-statanmsm01730016/</t>
  </si>
  <si>
    <t>La Plagne Montalbert</t>
  </si>
  <si>
    <t>https://www.france-montagnes.com/sit/la-plagne-montalbert-statanmsm2v502o0h/</t>
  </si>
  <si>
    <t>La Rosiere</t>
  </si>
  <si>
    <t>Montvalezan</t>
  </si>
  <si>
    <t>73176</t>
  </si>
  <si>
    <t>La Rosière</t>
  </si>
  <si>
    <t>https://www.larosiere.net/</t>
  </si>
  <si>
    <t>https://anmsm.media.tourinsoft.eu/upload/DSR-PLANDESPISTES-2024-2025-WEB.pdf</t>
  </si>
  <si>
    <t>f8176e48416adcfc9118014d5c390cd2099a6a18</t>
  </si>
  <si>
    <t>https://www.france-montagnes.com/sit/la-rosiere-statanmsm01730017/</t>
  </si>
  <si>
    <t>La Tania</t>
  </si>
  <si>
    <t>La Toussuire</t>
  </si>
  <si>
    <t>Fontcouverte-la-Toussuire</t>
  </si>
  <si>
    <t>73116</t>
  </si>
  <si>
    <t>Les Sybelles</t>
  </si>
  <si>
    <t>https://reservation.la-toussuire.com/z14220_fr-.aspx</t>
  </si>
  <si>
    <t>775634f8f5f5b0724ecd27d82909b2008d58f7d5</t>
  </si>
  <si>
    <t>https://www.france-montagnes.com/sit/la-toussuire-statanmsm2v502nlx/</t>
  </si>
  <si>
    <t>Lans En Vercors</t>
  </si>
  <si>
    <t>38250</t>
  </si>
  <si>
    <t>Lans-en-Vercors</t>
  </si>
  <si>
    <t>38205</t>
  </si>
  <si>
    <t>Montagnes de Lans</t>
  </si>
  <si>
    <t>https://skipass.lansenvercors.com/fr/</t>
  </si>
  <si>
    <t>bedf72c84a810f18d415638c44691ccce315a30b</t>
  </si>
  <si>
    <t>https://www.france-montagnes.com/sit/lans-en-vercors-statanmsm2v502nr8/</t>
  </si>
  <si>
    <t>Lanslebourg</t>
  </si>
  <si>
    <t>Val-Cenis</t>
  </si>
  <si>
    <t>73290</t>
  </si>
  <si>
    <t>https://reservation.haute-maurienne-vanoise.com/ac57-val-cenis.htm</t>
  </si>
  <si>
    <t>Lanslevillard</t>
  </si>
  <si>
    <t>Le Barioz Alpin</t>
  </si>
  <si>
    <t>38580</t>
  </si>
  <si>
    <t>Allevard</t>
  </si>
  <si>
    <t>38006</t>
  </si>
  <si>
    <t>Le Collet d'Allevard</t>
  </si>
  <si>
    <t>8684d1f2a8bbdfc26c5ff0bed6e0098050c1da01</t>
  </si>
  <si>
    <t>https://www.france-montagnes.com/sit/le-barioz-alpin-29330/</t>
  </si>
  <si>
    <t>Le Bettex</t>
  </si>
  <si>
    <t>74170</t>
  </si>
  <si>
    <t>Saint-Gervais-les-Bains</t>
  </si>
  <si>
    <t>74236</t>
  </si>
  <si>
    <t>Megève</t>
  </si>
  <si>
    <t>97a14cedc5b0e781e9bd9857df1426b9376c7462</t>
  </si>
  <si>
    <t>Le Chinaillon</t>
  </si>
  <si>
    <t>74450</t>
  </si>
  <si>
    <t>Le Grand-Bornand</t>
  </si>
  <si>
    <t>74136</t>
  </si>
  <si>
    <t>https://www.legrandbornand.com/</t>
  </si>
  <si>
    <t>8af93a64c41b59fca4705d30c106ef29fb24e042</t>
  </si>
  <si>
    <t>Le Col De Marcieu - Chartreuse</t>
  </si>
  <si>
    <t>38660</t>
  </si>
  <si>
    <t>Plateau-des-Petites-Roches</t>
  </si>
  <si>
    <t>38395</t>
  </si>
  <si>
    <t>Col de Marcieu</t>
  </si>
  <si>
    <t>https://col-marcieu.com/</t>
  </si>
  <si>
    <t>e9aa7f43df26ae35e5f7c4f86a9e885ac2141be0</t>
  </si>
  <si>
    <t>https://www.france-montagnes.com/sit/le-col-de-marcieu-chartreuse-statanmsm2v5030gm/</t>
  </si>
  <si>
    <t>Le Collet</t>
  </si>
  <si>
    <t>https://reservation.lecollet.com/</t>
  </si>
  <si>
    <t>https://www.france-montagnes.com/sit/le-collet-statanmsm2v5030gk/</t>
  </si>
  <si>
    <t>Le Corbier</t>
  </si>
  <si>
    <t>Villarembert</t>
  </si>
  <si>
    <t>73318</t>
  </si>
  <si>
    <t>https://www.le-corbier.com/</t>
  </si>
  <si>
    <t>https://anmsm.media.tourinsoft.eu/upload/Plan-des-pistes-24-25-BLEU-HORIZONTAL-fevrier-2025.pdf</t>
  </si>
  <si>
    <t>https://www.france-montagnes.com/sit/le-corbier-statanmsm01730021/</t>
  </si>
  <si>
    <t>Le Fornet</t>
  </si>
  <si>
    <t>https://anmsm.media.tourinsoft.eu/upload/plandespistes-grandbornand-2026-lumiplan-light.pdf</t>
  </si>
  <si>
    <t>https://www.france-montagnes.com/sit/le-grand-bornand-statanmsm01740015/</t>
  </si>
  <si>
    <t>Le Granier</t>
  </si>
  <si>
    <t>38380</t>
  </si>
  <si>
    <t>Saint-Pierre-d'Entremont</t>
  </si>
  <si>
    <t>38446</t>
  </si>
  <si>
    <t>En activité (bénévole)</t>
  </si>
  <si>
    <t>Saint-Pierre-de-Chartreuse</t>
  </si>
  <si>
    <t>fb8c023a1130cfc9e34a489eaba81de907ca708c</t>
  </si>
  <si>
    <t>https://www.france-montagnes.com/sit/le-granier-29138/</t>
  </si>
  <si>
    <t>Le Planolet</t>
  </si>
  <si>
    <t>En activité (associatif)</t>
  </si>
  <si>
    <t>https://www.france-montagnes.com/sit/le-planolet-29159/</t>
  </si>
  <si>
    <t>Le Pleynet</t>
  </si>
  <si>
    <t>Le Haut-Bréda</t>
  </si>
  <si>
    <t>38163</t>
  </si>
  <si>
    <t>Les 7 Laux</t>
  </si>
  <si>
    <t>https://www.les7laux.com/hiver/</t>
  </si>
  <si>
    <t>8902d1f9fe9945cf5b72b9a2c100b24c064e3abd</t>
  </si>
  <si>
    <t>Le Reposoir</t>
  </si>
  <si>
    <t>74950</t>
  </si>
  <si>
    <t>74221</t>
  </si>
  <si>
    <t>640afa6ad64752363508b283c2daacb6c7af415e</t>
  </si>
  <si>
    <t>https://www.france-montagnes.com/sit/le-reposoir-29177/</t>
  </si>
  <si>
    <t>Le Semnoz</t>
  </si>
  <si>
    <t>74320</t>
  </si>
  <si>
    <t>Leschaux</t>
  </si>
  <si>
    <t>74148</t>
  </si>
  <si>
    <t>2e9d70faa56cc3f9b5837573f439a1f040c60a7d</t>
  </si>
  <si>
    <t>https://www.france-montagnes.com/sit/le-semnoz-29240/</t>
  </si>
  <si>
    <t>Le Tour</t>
  </si>
  <si>
    <t>Balme - Vallorcine</t>
  </si>
  <si>
    <t>778cf1cb898c18902972765463f338721dac88b3</t>
  </si>
  <si>
    <t>Les 2 Alpes</t>
  </si>
  <si>
    <t>38860</t>
  </si>
  <si>
    <t>38253</t>
  </si>
  <si>
    <t>https://www.les2alpes.com/hiver/</t>
  </si>
  <si>
    <t>https://anmsm.media.tourinsoft.eu/upload/2026-Plan-Hiver-Vo-BD.jpg</t>
  </si>
  <si>
    <t>https://www.france-montagnes.com/sit/les-2-alpes-statanmsm01380019/</t>
  </si>
  <si>
    <t>38190</t>
  </si>
  <si>
    <t>Les Adrets</t>
  </si>
  <si>
    <t>38002</t>
  </si>
  <si>
    <t>https://anmsm.media.tourinsoft.eu/upload/documentation-7L20PP-FR-7-.pdf</t>
  </si>
  <si>
    <t>https://www.france-montagnes.com/sit/les-7-laux-statanmsm01380020/</t>
  </si>
  <si>
    <t>Les Arcs Bourg St Maurice</t>
  </si>
  <si>
    <t>https://www.france-montagnes.com/sit/les-arcs-bourg-st-maurice-statanmsm01730028/</t>
  </si>
  <si>
    <t>Les Bottières</t>
  </si>
  <si>
    <t>Saint-Pancrace</t>
  </si>
  <si>
    <t>73267</t>
  </si>
  <si>
    <t>Les Brasses</t>
  </si>
  <si>
    <t>74490</t>
  </si>
  <si>
    <t>Onnion</t>
  </si>
  <si>
    <t>74205</t>
  </si>
  <si>
    <t>Massif des Brasses</t>
  </si>
  <si>
    <t>45a940355cca76e598e2a54c273e06cd0916e04f</t>
  </si>
  <si>
    <t>https://www.france-montagnes.com/sit/les-brasses-29183/</t>
  </si>
  <si>
    <t>Les Carroz d'Araches</t>
  </si>
  <si>
    <t>https://reservation.lescarroz.com/</t>
  </si>
  <si>
    <t>https://www.france-montagnes.com/sit/les-carroz-daraches-28553/</t>
  </si>
  <si>
    <t>Les Coches</t>
  </si>
  <si>
    <t>Les Contamines Montjoie</t>
  </si>
  <si>
    <t>Les Contamines-Montjoie</t>
  </si>
  <si>
    <t>74085</t>
  </si>
  <si>
    <t>https://www.lescontamines.net/</t>
  </si>
  <si>
    <t>https://anmsm.media.tourinsoft.eu/upload/Plan-Les-Contamines-2019-2020-V2-HD---logo.jpg</t>
  </si>
  <si>
    <t>https://www.france-montagnes.com/sit/les-contamines-montjoie-statanmsm01740019/</t>
  </si>
  <si>
    <t>Les Gets</t>
  </si>
  <si>
    <t>74260</t>
  </si>
  <si>
    <t>74134</t>
  </si>
  <si>
    <t>https://www.france-montagnes.com/sit/les-gets-28559/</t>
  </si>
  <si>
    <t>Les Houches</t>
  </si>
  <si>
    <t>74310</t>
  </si>
  <si>
    <t>74143</t>
  </si>
  <si>
    <t>Les Houches - Saint-Gervais</t>
  </si>
  <si>
    <t>https://www.chamonix.com/la-vallee/les-stations-villages/les-houches</t>
  </si>
  <si>
    <t>https://anmsm.media.tourinsoft.eu/upload/Plan-Hiver-HCH-2.pdf</t>
  </si>
  <si>
    <t>ea9dfe26da36c33e8cf007b22b628c153ac69ab4</t>
  </si>
  <si>
    <t>https://www.france-montagnes.com/sit/les-houches-statanmsm01740022/</t>
  </si>
  <si>
    <t>Les Karellis</t>
  </si>
  <si>
    <t>73870</t>
  </si>
  <si>
    <t>Montricher-Albanne</t>
  </si>
  <si>
    <t>73173</t>
  </si>
  <si>
    <t>https://www.karellis-reservation.com/</t>
  </si>
  <si>
    <t>https://anmsm.media.tourinsoft.eu/upload/Karellis-2019-2020-ALPIN-V1-HD-2.jpg</t>
  </si>
  <si>
    <t>a3f181286a5893208aa7d7b7d1704bb923673003</t>
  </si>
  <si>
    <t>https://www.france-montagnes.com/sit/les-karellis-statanmsm01730029/</t>
  </si>
  <si>
    <t>Les Menuires</t>
  </si>
  <si>
    <t>73440</t>
  </si>
  <si>
    <t>Les Belleville</t>
  </si>
  <si>
    <t>73257</t>
  </si>
  <si>
    <t>https://fr.locationlesmenuires.com/</t>
  </si>
  <si>
    <t>https://anmsm.media.tourinsoft.eu/upload/plan-pistes-Menuires-Saint-Martin-2.pdf</t>
  </si>
  <si>
    <t>https://www.france-montagnes.com/sit/les-menuires-statanmsm01730030/</t>
  </si>
  <si>
    <t>Les Saisies</t>
  </si>
  <si>
    <t>https://anmsm.media.tourinsoft.eu/upload/plan-espace-diamant-18-19.pdf</t>
  </si>
  <si>
    <t>https://www.france-montagnes.com/sit/les-saisies-statanmsm01730031/</t>
  </si>
  <si>
    <t>Lullin</t>
  </si>
  <si>
    <t>74155</t>
  </si>
  <si>
    <t>Stade de neige du Col du Feu</t>
  </si>
  <si>
    <t>f990e97d00662ee7400316c6929dfee384d1c4c9</t>
  </si>
  <si>
    <t>https://www.france-montagnes.com/sit/lullin-29243/</t>
  </si>
  <si>
    <t>Lus la Croix Haute</t>
  </si>
  <si>
    <t>26620</t>
  </si>
  <si>
    <t>Lus-la-Croix-Haute</t>
  </si>
  <si>
    <t>26168</t>
  </si>
  <si>
    <t>Lus la Jarjatte</t>
  </si>
  <si>
    <t>2d228a1bd746049bc270a45194718c67926e8b31</t>
  </si>
  <si>
    <t>https://www.france-montagnes.com/sit/lus-la-croix-haute-29291/</t>
  </si>
  <si>
    <t>Manigod/Col de Merdassier</t>
  </si>
  <si>
    <t>74230</t>
  </si>
  <si>
    <t>Manigod</t>
  </si>
  <si>
    <t>74160</t>
  </si>
  <si>
    <t>https://www.france-montagnes.com/sit/manigod-col-de-merdassier-29246/</t>
  </si>
  <si>
    <t>Megevette</t>
  </si>
  <si>
    <t>Mégevette</t>
  </si>
  <si>
    <t>74174</t>
  </si>
  <si>
    <t>https://www.france-montagnes.com/sit/megevette-29252/</t>
  </si>
  <si>
    <t>74120</t>
  </si>
  <si>
    <t>74173</t>
  </si>
  <si>
    <t>https://www.france-montagnes.com/sit/megeve-28586/</t>
  </si>
  <si>
    <t>Meribel</t>
  </si>
  <si>
    <t>73550</t>
  </si>
  <si>
    <t>Les Allues</t>
  </si>
  <si>
    <t>73015</t>
  </si>
  <si>
    <t>https://reservations.meribel.net/?lang=fr_FR</t>
  </si>
  <si>
    <t>https://anmsm.media.tourinsoft.eu/upload/Plan-des-pistes-7.pdf</t>
  </si>
  <si>
    <t>https://www.france-montagnes.com/sit/meribel-statanmsm01730032/</t>
  </si>
  <si>
    <t>Mont-Saxonnex</t>
  </si>
  <si>
    <t>74130</t>
  </si>
  <si>
    <t>74189</t>
  </si>
  <si>
    <t>Mont Saxonnex</t>
  </si>
  <si>
    <t>1ca45b70baf2190fa1c8b8e33a3e31adc16ee952</t>
  </si>
  <si>
    <t>https://www.france-montagnes.com/sit/mont-saxonnex-29255/</t>
  </si>
  <si>
    <t>Montchavin La Plagne</t>
  </si>
  <si>
    <t>https://anmsm.media.tourinsoft.eu/upload/PlanPistesParadiski2024-LaPlagne-LesArcs-Peisey-Vallandry.pdf</t>
  </si>
  <si>
    <t>https://www.france-montagnes.com/sit/montchavin-la-plagne-statanmsm01730034/</t>
  </si>
  <si>
    <t>Montmin</t>
  </si>
  <si>
    <t>74290</t>
  </si>
  <si>
    <t>Talloires-Montmin</t>
  </si>
  <si>
    <t>74275</t>
  </si>
  <si>
    <t>Montmin - Col de la Forclaz</t>
  </si>
  <si>
    <t>4ba5aeea5ff89e0767fe88c0d4ce69e4e114fa51</t>
  </si>
  <si>
    <t>https://www.france-montagnes.com/sit/montmin-29228/</t>
  </si>
  <si>
    <t>Montriond</t>
  </si>
  <si>
    <t>74188</t>
  </si>
  <si>
    <t>https://www.france-montagnes.com/sit/montriond-29186/</t>
  </si>
  <si>
    <t>Morillon</t>
  </si>
  <si>
    <t>74440</t>
  </si>
  <si>
    <t>74190</t>
  </si>
  <si>
    <t>https://www.france-montagnes.com/sit/morillon-570527/</t>
  </si>
  <si>
    <t>https://www.france-montagnes.com/sit/morzine-28607/</t>
  </si>
  <si>
    <t>Méribel Village</t>
  </si>
  <si>
    <t>Méribel-Mottaret</t>
  </si>
  <si>
    <t>Nancy sur Cluses</t>
  </si>
  <si>
    <t>Nancy-sur-Cluses</t>
  </si>
  <si>
    <t>74196</t>
  </si>
  <si>
    <t>Romme</t>
  </si>
  <si>
    <t>88c5f12177cd283af8fbaeee4cfcc0e8eae00ad2</t>
  </si>
  <si>
    <t>https://www.france-montagnes.com/sit/nancy-sur-cluses-29189/</t>
  </si>
  <si>
    <t>Notre Dame De Bellecombe</t>
  </si>
  <si>
    <t>Notre-Dame-de-Bellecombe</t>
  </si>
  <si>
    <t>73186</t>
  </si>
  <si>
    <t>https://www.valdarly-montblanc.com/villages-stations/notre-dame-de-bellecombe/</t>
  </si>
  <si>
    <t>https://anmsm.media.tourinsoft.eu/upload/espace-diamant-plan-pistes.jpg</t>
  </si>
  <si>
    <t>https://www.france-montagnes.com/sit/notre-dame-de-bellecombe-statanmsm01730036/</t>
  </si>
  <si>
    <t>Orange</t>
  </si>
  <si>
    <t>74800</t>
  </si>
  <si>
    <t>Saint-Sixt</t>
  </si>
  <si>
    <t>74253</t>
  </si>
  <si>
    <t>https://www.france-montagnes.com/sit/orange-29198/</t>
  </si>
  <si>
    <t>Orelle</t>
  </si>
  <si>
    <t>73140</t>
  </si>
  <si>
    <t>73194</t>
  </si>
  <si>
    <t>Galibier-Thabor</t>
  </si>
  <si>
    <t>https://reservation.orelle.net/</t>
  </si>
  <si>
    <t>0c1ee22aff92dce160be7b206226d0e3b73328b2</t>
  </si>
  <si>
    <t>https://www.france-montagnes.com/sit/orelle-29114/</t>
  </si>
  <si>
    <t>Oz 3300</t>
  </si>
  <si>
    <t>38114</t>
  </si>
  <si>
    <t>Oz</t>
  </si>
  <si>
    <t>38289</t>
  </si>
  <si>
    <t>https://www.oz-en-oisans.com/hiver/decouvrir/oz-en-oisans/</t>
  </si>
  <si>
    <t>https://www.france-montagnes.com/sit/oz-3300-statanmsm2v502tsp/</t>
  </si>
  <si>
    <t>Passy Plaine Joux</t>
  </si>
  <si>
    <t>Passy</t>
  </si>
  <si>
    <t>74208</t>
  </si>
  <si>
    <t>Passy - Plaine Joux</t>
  </si>
  <si>
    <t>https://booking.passy-mont-blanc.com</t>
  </si>
  <si>
    <t>b9a2edadc2861fc9f1da1b50dd0818c4a331003e</t>
  </si>
  <si>
    <t>https://www.france-montagnes.com/sit/passy-plaine-joux-29201/</t>
  </si>
  <si>
    <t>Peisey-Vallandry</t>
  </si>
  <si>
    <t>Peisey-Nancroix</t>
  </si>
  <si>
    <t>73197</t>
  </si>
  <si>
    <t>https://www.peisey-vallandry.com/</t>
  </si>
  <si>
    <t>https://anmsm.media.tourinsoft.eu/upload/Paradiski-2024-2025-V8-2-LES-ARCS-BD.pdf</t>
  </si>
  <si>
    <t>https://www.france-montagnes.com/sit/peisey-vallandry-statanmsm01730037/</t>
  </si>
  <si>
    <t>Pipay</t>
  </si>
  <si>
    <t>38570</t>
  </si>
  <si>
    <t>Theys</t>
  </si>
  <si>
    <t>38504</t>
  </si>
  <si>
    <t>Plagne 1800</t>
  </si>
  <si>
    <t>Plagne Bellecôte</t>
  </si>
  <si>
    <t>Plagne Soleil</t>
  </si>
  <si>
    <t>Plagne Villages</t>
  </si>
  <si>
    <t>Plateau de Beauregard</t>
  </si>
  <si>
    <t>https://www.france-montagnes.com/sit/plateau-de-beauregard-29213/</t>
  </si>
  <si>
    <t>Pralognan La Vanoise</t>
  </si>
  <si>
    <t>73710</t>
  </si>
  <si>
    <t>Pralognan-la-Vanoise</t>
  </si>
  <si>
    <t>73206</t>
  </si>
  <si>
    <t>https://www.reservationpralognan.fr/</t>
  </si>
  <si>
    <t>https://anmsm.media.tourinsoft.eu/upload/Pralo-pistes-END.pdf</t>
  </si>
  <si>
    <t>fb221f44d7aaafd3e9a884c397ebe1f1059edd62</t>
  </si>
  <si>
    <t>https://www.france-montagnes.com/sit/pralognan-la-vanoise-statanmsm01730038/</t>
  </si>
  <si>
    <t>Prapoutel</t>
  </si>
  <si>
    <t>Praz sur Arly</t>
  </si>
  <si>
    <t>Praz-sur-Arly</t>
  </si>
  <si>
    <t>74215</t>
  </si>
  <si>
    <t>https://www.france-montagnes.com/sit/praz-sur-arly-28634/</t>
  </si>
  <si>
    <t>Reberty</t>
  </si>
  <si>
    <t>https://reservation.valthorens.com/</t>
  </si>
  <si>
    <t>Saint Colomban Des Villards</t>
  </si>
  <si>
    <t>73130</t>
  </si>
  <si>
    <t>Saint-Colomban-des-Villards</t>
  </si>
  <si>
    <t>73230</t>
  </si>
  <si>
    <t>domaine non nommé (OpenStreetMap)</t>
  </si>
  <si>
    <t>https://www.saint-colomban.com/la-vallee-des-villards.html</t>
  </si>
  <si>
    <t>1e259b14-8a9d-4efb-8cd8-36b2381ec4b5</t>
  </si>
  <si>
    <t>https://www.france-montagnes.com/sit/saint-colomban-des-villards-statanmsm2v500q7p/</t>
  </si>
  <si>
    <t>Saint Francois Longchamp</t>
  </si>
  <si>
    <t>Saint François Longchamp</t>
  </si>
  <si>
    <t>73235</t>
  </si>
  <si>
    <t>Le Grand Domaine</t>
  </si>
  <si>
    <t>https://reservation.saintfrancoislongchamp.com/</t>
  </si>
  <si>
    <t>https://anmsm.media.tourinsoft.eu/upload/SFL-PanoramaJuillet2020-sanslegendes.pdf</t>
  </si>
  <si>
    <t>f5fcc0e543cfb0e4d50280c286081c27d975697f</t>
  </si>
  <si>
    <t>https://www.france-montagnes.com/sit/saint-francois-longchamp-statanmsm01730040/</t>
  </si>
  <si>
    <t>Saint Hugues - Les Egaux</t>
  </si>
  <si>
    <t>38442</t>
  </si>
  <si>
    <t>https://www.france-montagnes.com/sit/saint-hugues-les-egaux-570523/</t>
  </si>
  <si>
    <t>Saint Martin De Belleville</t>
  </si>
  <si>
    <t>https://fr.locationsaintmartin.com/</t>
  </si>
  <si>
    <t>https://anmsm.media.tourinsoft.eu/upload/Plan-Menuires-18-19-HD-3.pdf</t>
  </si>
  <si>
    <t>https://www.france-montagnes.com/sit/saint-martin-de-belleville-statanmsm01730042/</t>
  </si>
  <si>
    <t>Saint Sorlin D'Arves</t>
  </si>
  <si>
    <t>73530</t>
  </si>
  <si>
    <t>Saint-Sorlin-d'Arves</t>
  </si>
  <si>
    <t>73280</t>
  </si>
  <si>
    <t>https://www.saintsorlindarves.com/hebergements/reservation</t>
  </si>
  <si>
    <t>https://anmsm.media.tourinsoft.eu/upload/Plan-des-pistes-SYBELLES-24-25-3.png</t>
  </si>
  <si>
    <t>https://www.france-montagnes.com/sit/saint-sorlin-darves-statanmsm01730043/</t>
  </si>
  <si>
    <t>Saint-Gervais Mont-Blanc</t>
  </si>
  <si>
    <t>https://www.france-montagnes.com/sit/saint-gervais-mont-blanc-28646/</t>
  </si>
  <si>
    <t>Saint-Hilaire du touvet</t>
  </si>
  <si>
    <t>Saint-Hilaire-du-Touvet</t>
  </si>
  <si>
    <t>16f39585e368113247554e88d72c250dc4633036</t>
  </si>
  <si>
    <t>https://www.france-montagnes.com/sit/saint-hilaire-du-touvet-28988/</t>
  </si>
  <si>
    <t>Saint-Jean d'Arves</t>
  </si>
  <si>
    <t>Saint-Jean-d'Arves</t>
  </si>
  <si>
    <t>73242</t>
  </si>
  <si>
    <t>https://reservation.sja73.com/</t>
  </si>
  <si>
    <t>https://www.france-montagnes.com/sit/saint-jean-darves-29123/</t>
  </si>
  <si>
    <t>Saint-Nicolas de Véroce</t>
  </si>
  <si>
    <t>https://www.france-montagnes.com/sit/saint-nicolas-de-veroce-29234/</t>
  </si>
  <si>
    <t>Saint-Pancrace les Bottières</t>
  </si>
  <si>
    <t>https://www.france-montagnes.com/sit/saint-pancrace-les-bottieres-29174/</t>
  </si>
  <si>
    <t>Sainte Foy Tarentaise</t>
  </si>
  <si>
    <t>73640</t>
  </si>
  <si>
    <t>Sainte-Foy-Tarentaise</t>
  </si>
  <si>
    <t>73232</t>
  </si>
  <si>
    <t>Sainte-Foy Tarentaise</t>
  </si>
  <si>
    <t>https://www.saintefoy-reservation.com/fr/</t>
  </si>
  <si>
    <t>https://anmsm.media.tourinsoft.eu/upload/PLAN-DES-PISTES-SAINTE-FOY-TARENTAISE-HIVER-2022-2023.pdf</t>
  </si>
  <si>
    <t>6d9ba323497049568dd1a62d9243f29a3ae5e29a</t>
  </si>
  <si>
    <t>https://www.france-montagnes.com/sit/sainte-foy-tarentaise-statanmsm01730044/</t>
  </si>
  <si>
    <t>Sainte-Foy Station</t>
  </si>
  <si>
    <t>Samoens</t>
  </si>
  <si>
    <t>74340</t>
  </si>
  <si>
    <t>Samoëns</t>
  </si>
  <si>
    <t>74258</t>
  </si>
  <si>
    <t>https://www.france-montagnes.com/sit/samoens-570528/</t>
  </si>
  <si>
    <t>Samoëns 1600</t>
  </si>
  <si>
    <t>Savoie Grand Revard</t>
  </si>
  <si>
    <t>Saint-François-de-Sales</t>
  </si>
  <si>
    <t>73234</t>
  </si>
  <si>
    <t>Le Revard</t>
  </si>
  <si>
    <t>fe1dd722da4c61dfc8c538f33906a0305f98fe38</t>
  </si>
  <si>
    <t>https://www.france-montagnes.com/sit/savoie-grand-revard-29141/</t>
  </si>
  <si>
    <t>Sixt</t>
  </si>
  <si>
    <t>https://www.france-montagnes.com/sit/sixt-29195/</t>
  </si>
  <si>
    <t>Termignon</t>
  </si>
  <si>
    <t>Thollon Les Memises</t>
  </si>
  <si>
    <t>Thollon-les-Mémises</t>
  </si>
  <si>
    <t>74279</t>
  </si>
  <si>
    <t>https://www.leman-mountains-explore.com/reserver/</t>
  </si>
  <si>
    <t>https://anmsm.media.tourinsoft.eu/upload/plan-thollon.jpg</t>
  </si>
  <si>
    <t>d3c7b897d3dac0b590961eb352677d3070e52fe1</t>
  </si>
  <si>
    <t>https://www.france-montagnes.com/sit/thollon-les-memises-statanmsm01740044/</t>
  </si>
  <si>
    <t>Tignes</t>
  </si>
  <si>
    <t>73320</t>
  </si>
  <si>
    <t>73296</t>
  </si>
  <si>
    <t>https://reservation.tignes.net/</t>
  </si>
  <si>
    <t>https://www.france-montagnes.com/sit/tignes-statanmsm01730049/</t>
  </si>
  <si>
    <t>Tignes Le Lac</t>
  </si>
  <si>
    <t>Tignes Les Boisses</t>
  </si>
  <si>
    <t>Tignes Les Brévières</t>
  </si>
  <si>
    <t>Tignes Val Claret</t>
  </si>
  <si>
    <t>Val Cenis</t>
  </si>
  <si>
    <t>https://anmsm.media.tourinsoft.eu/upload/FR-EN-Plan-des-pistes-HD-2025-26-BAT-FINAL.jpg</t>
  </si>
  <si>
    <t>https://www.france-montagnes.com/sit/val-cenis-statanmsm01730050/</t>
  </si>
  <si>
    <t>Val D'Isere</t>
  </si>
  <si>
    <t>https://anmsm.media.tourinsoft.eu/upload/Plan-des-pistes-Val-d-Isere-2024-2025.png</t>
  </si>
  <si>
    <t>https://www.france-montagnes.com/sit/val-disere-statanmsm01730051/</t>
  </si>
  <si>
    <t>Val Thorens</t>
  </si>
  <si>
    <t>https://anmsm.media.tourinsoft.eu/upload/Plan-3-Vallees-avec-legende-BD.pdf</t>
  </si>
  <si>
    <t>https://www.france-montagnes.com/sit/val-thorens-statanmsm01730052/</t>
  </si>
  <si>
    <t>Valfrejus</t>
  </si>
  <si>
    <t>Modane</t>
  </si>
  <si>
    <t>73157</t>
  </si>
  <si>
    <t>https://www.valfrejus.com/</t>
  </si>
  <si>
    <t>https://www.france-montagnes.com/sit/valfrejus-statanmsm01730053/</t>
  </si>
  <si>
    <t>Valloire</t>
  </si>
  <si>
    <t>73450</t>
  </si>
  <si>
    <t>73306</t>
  </si>
  <si>
    <t>https://www.valloire.com/</t>
  </si>
  <si>
    <t>https://anmsm.media.tourinsoft.eu/upload/plan-des-pistes-2425.pdf</t>
  </si>
  <si>
    <t>https://www.france-montagnes.com/sit/valloire-statanmsm01730054/</t>
  </si>
  <si>
    <t>Vallorcine</t>
  </si>
  <si>
    <t>74660</t>
  </si>
  <si>
    <t>https://booking.chamonix.com/fr</t>
  </si>
  <si>
    <t>https://www.france-montagnes.com/sit/vallorcine-29219/</t>
  </si>
  <si>
    <t>Valmeinier</t>
  </si>
  <si>
    <t>73307</t>
  </si>
  <si>
    <t>https://www.valmeinier-reservation.com/hiver</t>
  </si>
  <si>
    <t>https://anmsm.media.tourinsoft.eu/upload/VALMEINIER-VALLOIRE-hiver-2024-2025-V6-BD.pdf</t>
  </si>
  <si>
    <t>https://www.france-montagnes.com/sit/valmeinier-statanmsm01730055/</t>
  </si>
  <si>
    <t>Valmorel</t>
  </si>
  <si>
    <t>73260</t>
  </si>
  <si>
    <t>Les Avanchers-Valmorel</t>
  </si>
  <si>
    <t>73024</t>
  </si>
  <si>
    <t>https://www.valmorel.com/</t>
  </si>
  <si>
    <t>https://anmsm.media.tourinsoft.eu/upload/Carte-Valmorel-2024-HD.jpg</t>
  </si>
  <si>
    <t>https://www.france-montagnes.com/sit/valmorel-statanmsm01730056/</t>
  </si>
  <si>
    <t>Vaujany</t>
  </si>
  <si>
    <t>38527</t>
  </si>
  <si>
    <t>https://www.vaujany.com/fr/ouverture-hiver/</t>
  </si>
  <si>
    <t>https://anmsm.media.tourinsoft.eu/upload/380034-09.jpg</t>
  </si>
  <si>
    <t>https://www.france-montagnes.com/sit/vaujany-statanmsm01380034/</t>
  </si>
  <si>
    <t>Villard De Lans - Correncon</t>
  </si>
  <si>
    <t>Villard-de-Lans</t>
  </si>
  <si>
    <t>38548</t>
  </si>
  <si>
    <t>Colline des Bains</t>
  </si>
  <si>
    <t>https://www.villarddelans-correnconenvercors.com/</t>
  </si>
  <si>
    <t>https://anmsm.media.tourinsoft.eu/upload/SEVLC-plan-seul-1225.jpg</t>
  </si>
  <si>
    <t>b798c8254cce3290e750f16b93aa6b9ca2a375ea</t>
  </si>
  <si>
    <t>https://www.france-montagnes.com/sit/villard-de-lans-correncon-statanmsm01380036/</t>
  </si>
  <si>
    <t>Villard-Reculas</t>
  </si>
  <si>
    <t>38550</t>
  </si>
  <si>
    <t>https://www.france-montagnes.com/sit/villard-reculas-28985/</t>
  </si>
  <si>
    <t>Villaroger</t>
  </si>
  <si>
    <t>73323</t>
  </si>
  <si>
    <t>https://hebergement.villaroger.fr/</t>
  </si>
  <si>
    <t>WordPress + WooCommerce</t>
  </si>
  <si>
    <t>https://www.france-montagnes.com/sit/villaroger-570525/</t>
  </si>
  <si>
    <t>Abriès Aiguilles &amp; Ristolas</t>
  </si>
  <si>
    <t>Alpes du Sud</t>
  </si>
  <si>
    <t>Hautes-Alpes</t>
  </si>
  <si>
    <t>05460</t>
  </si>
  <si>
    <t>Abriès-Ristolas</t>
  </si>
  <si>
    <t>05001</t>
  </si>
  <si>
    <t>Queyras - Haut-Guil (Abriès)</t>
  </si>
  <si>
    <t>534530805814dea3640ab85f879f4d122fec8aac</t>
  </si>
  <si>
    <t>https://www.france-montagnes.com/sit/abries-aiguilles-ristolas-28829/</t>
  </si>
  <si>
    <t>Ancelle Village Station</t>
  </si>
  <si>
    <t>05260</t>
  </si>
  <si>
    <t>Ancelle</t>
  </si>
  <si>
    <t>05004</t>
  </si>
  <si>
    <t>5d982c5ba126dcd1a357cb1ab735ebcca8f708ee</t>
  </si>
  <si>
    <t>https://www.france-montagnes.com/sit/ancelle-village-station-28844/</t>
  </si>
  <si>
    <t>Arvieux</t>
  </si>
  <si>
    <t>05350</t>
  </si>
  <si>
    <t>05007</t>
  </si>
  <si>
    <t>Queyras - Arvieux</t>
  </si>
  <si>
    <t>99713653576c6e645d010ccfb24c164d181019fa</t>
  </si>
  <si>
    <t>https://www.france-montagnes.com/sit/arvieux-28835/</t>
  </si>
  <si>
    <t>Audibergue</t>
  </si>
  <si>
    <t>Alpes-Maritimes</t>
  </si>
  <si>
    <t>06750</t>
  </si>
  <si>
    <t>Andon</t>
  </si>
  <si>
    <t>06003</t>
  </si>
  <si>
    <t>L'Audibergue</t>
  </si>
  <si>
    <t>f64993b9dea488e1745baf0e341f1b408115143f</t>
  </si>
  <si>
    <t>https://www.france-montagnes.com/sit/audibergue-28883/</t>
  </si>
  <si>
    <t>Auron</t>
  </si>
  <si>
    <t>06660</t>
  </si>
  <si>
    <t>Saint-Étienne-de-Tinée</t>
  </si>
  <si>
    <t>06120</t>
  </si>
  <si>
    <t>https://hiver.auron.com/bons-plans/?external=1</t>
  </si>
  <si>
    <t>https://anmsm.media.tourinsoft.eu/upload/AURON-Plans-des-PIstes-2025-2026--1-.pdf</t>
  </si>
  <si>
    <t>f23d597954a98b529cf904c5f7d0522008afb131</t>
  </si>
  <si>
    <t>https://www.france-montagnes.com/sit/auron-statanmsm01060001/</t>
  </si>
  <si>
    <t>Ceillac en Queyras</t>
  </si>
  <si>
    <t>05600</t>
  </si>
  <si>
    <t>Ceillac</t>
  </si>
  <si>
    <t>05026</t>
  </si>
  <si>
    <t>Queyras - Ceillac</t>
  </si>
  <si>
    <t>b7833ccfbf2f1d33ea1771f80296d89830bc2d6d</t>
  </si>
  <si>
    <t>https://www.france-montagnes.com/sit/ceillac-en-queyras-28826/</t>
  </si>
  <si>
    <t>Chabanon</t>
  </si>
  <si>
    <t>Alpes-de-Haute-Provence</t>
  </si>
  <si>
    <t>04140</t>
  </si>
  <si>
    <t>Selonnet</t>
  </si>
  <si>
    <t>04203</t>
  </si>
  <si>
    <t>https://www.selonnetchabanon-tourisme.fr/</t>
  </si>
  <si>
    <t>https://anmsm.media.tourinsoft.eu/upload/Plan-des-pistes-2019-jpg.jpg</t>
  </si>
  <si>
    <t>22c54e1e92de27ad2b47090f9b33564d0cbe8edc</t>
  </si>
  <si>
    <t>https://www.france-montagnes.com/sit/chabanon-statanmsm2v500q59/</t>
  </si>
  <si>
    <t>Crévoux</t>
  </si>
  <si>
    <t>05200</t>
  </si>
  <si>
    <t>05044</t>
  </si>
  <si>
    <t>494122163c8aa3f93f43ccee9fd0ee83a3a03d62</t>
  </si>
  <si>
    <t>https://www.france-montagnes.com/sit/crevoux-28859/</t>
  </si>
  <si>
    <t>Greolieres Les Neiges</t>
  </si>
  <si>
    <t>06620</t>
  </si>
  <si>
    <t>Gréolières</t>
  </si>
  <si>
    <t>06070</t>
  </si>
  <si>
    <t>Gréolières-Les-Neiges</t>
  </si>
  <si>
    <t>http://stations-greolieres-audibergue.com/</t>
  </si>
  <si>
    <t>678e5f815433e030d76aabe4cbb8852b0079a238</t>
  </si>
  <si>
    <t>https://www.france-montagnes.com/sit/greolieres-les-neiges-statanmsm2v500v0a/</t>
  </si>
  <si>
    <t>Isola 2000</t>
  </si>
  <si>
    <t>06420</t>
  </si>
  <si>
    <t>Isola</t>
  </si>
  <si>
    <t>06073</t>
  </si>
  <si>
    <t>https://isola2000.com/reservez-votre-sejour/</t>
  </si>
  <si>
    <t>Yoplanning</t>
  </si>
  <si>
    <t>https://anmsm.media.tourinsoft.eu/upload/ISOLA-2000-plan-des-pistes.pdf</t>
  </si>
  <si>
    <t>6a9f3afdd5d590a14770fdb7a8e90c6285b18035</t>
  </si>
  <si>
    <t>https://www.france-montagnes.com/sit/isola-2000-statanmsm01060010/</t>
  </si>
  <si>
    <t>La Colmiane</t>
  </si>
  <si>
    <t>Valdeblore</t>
  </si>
  <si>
    <t>06153</t>
  </si>
  <si>
    <t>https://colmiane.com/</t>
  </si>
  <si>
    <t>https://anmsm.media.tourinsoft.eu/upload/Pistes-LaColmiane-120x70cm--1-1.jpg</t>
  </si>
  <si>
    <t>b85ed4089d26f2edac6ea2ee44d0c49ff5172866</t>
  </si>
  <si>
    <t>https://www.france-montagnes.com/sit/la-colmiane-statanmsm2v500t84/</t>
  </si>
  <si>
    <t>La Foux d'Allos</t>
  </si>
  <si>
    <t>04260</t>
  </si>
  <si>
    <t>Allos</t>
  </si>
  <si>
    <t>04006</t>
  </si>
  <si>
    <t>Espace Lumière</t>
  </si>
  <si>
    <t>https://www.valdallos.com/</t>
  </si>
  <si>
    <t>e7c4c03bd7f9a3d907ff566775cfba1823bcf2ae</t>
  </si>
  <si>
    <t>La Grave</t>
  </si>
  <si>
    <t>05320</t>
  </si>
  <si>
    <t>05063</t>
  </si>
  <si>
    <t>Le Chazelet</t>
  </si>
  <si>
    <t>c2b877af77c5268eae3431e9fee00e5c004eeb6f</t>
  </si>
  <si>
    <t>https://www.france-montagnes.com/sit/la-grave-28850/</t>
  </si>
  <si>
    <t>La Joue du Loup</t>
  </si>
  <si>
    <t>05250</t>
  </si>
  <si>
    <t>Dévoluy</t>
  </si>
  <si>
    <t>05139</t>
  </si>
  <si>
    <t>https://reservation.ledevoluy.com/</t>
  </si>
  <si>
    <t>8e5dbdde0808be45e5e47253e905635c9f867c3b</t>
  </si>
  <si>
    <t>Laye en Champsaur</t>
  </si>
  <si>
    <t>05500</t>
  </si>
  <si>
    <t>Saint-Bonnet-en-Champsaur</t>
  </si>
  <si>
    <t>05132</t>
  </si>
  <si>
    <t>Chaillol, Chalhòl</t>
  </si>
  <si>
    <t>5fa47ccbd1d702e3a8c21ef47b92d9fa38d46e0e</t>
  </si>
  <si>
    <t>https://www.france-montagnes.com/sit/laye-en-champsaur-28862/</t>
  </si>
  <si>
    <t>Le Devoluy</t>
  </si>
  <si>
    <t>https://anmsm.media.tourinsoft.eu/upload/Plan-des-pistes-alpin-nordique-H25-26-compressed.pdf</t>
  </si>
  <si>
    <t>https://www.france-montagnes.com/sit/le-devoluy-statanmsm01050028/</t>
  </si>
  <si>
    <t>Le Grand Puy</t>
  </si>
  <si>
    <t>Seyne</t>
  </si>
  <si>
    <t>04205</t>
  </si>
  <si>
    <t>f0007f1cc496b6a648911d0ba6427b8927e4a9e2</t>
  </si>
  <si>
    <t>Le Queyras</t>
  </si>
  <si>
    <t>Château-Ville-Vieille</t>
  </si>
  <si>
    <t>05038</t>
  </si>
  <si>
    <t>https://www.france-montagnes.com/sit/le-queyras-28847/</t>
  </si>
  <si>
    <t>Le Seignus</t>
  </si>
  <si>
    <t>Val d'Allos - Le Seignus</t>
  </si>
  <si>
    <t>ab1f9a29185ea464553449ca060e40589115b16c</t>
  </si>
  <si>
    <t>Les Claux</t>
  </si>
  <si>
    <t>05560</t>
  </si>
  <si>
    <t>Vars</t>
  </si>
  <si>
    <t>05177</t>
  </si>
  <si>
    <t>Forêt Blanche : Vars/Risoul</t>
  </si>
  <si>
    <t>https://www.alpes-sudlocations.com/reservation-sejour-vars/</t>
  </si>
  <si>
    <t>Elloha</t>
  </si>
  <si>
    <t>9d0b2c5e0fcac9deba9c727a834cac4b43a5d2c9</t>
  </si>
  <si>
    <t>Les Orres</t>
  </si>
  <si>
    <t>05098</t>
  </si>
  <si>
    <t>https://reservation.lesorres.com/</t>
  </si>
  <si>
    <t>https://anmsm.media.tourinsoft.eu/upload/PLAN-DES-PISTES-LES-ORRES-2023-24-02-BD-compressed--2-.pdf</t>
  </si>
  <si>
    <t>1baf81db9b44d9666be0ce83407209f4df36e080</t>
  </si>
  <si>
    <t>https://www.france-montagnes.com/sit/les-orres-statanmsm01050016/</t>
  </si>
  <si>
    <t>Les Orres 1650</t>
  </si>
  <si>
    <t>Les Orres 1800</t>
  </si>
  <si>
    <t>Molines Saint-Véran en Queyras</t>
  </si>
  <si>
    <t>Molines-en-Queyras</t>
  </si>
  <si>
    <t>05077</t>
  </si>
  <si>
    <t>Queyras - Molines/Saint-Véran</t>
  </si>
  <si>
    <t>4243519f890596507243ce624d660bfddd378b16</t>
  </si>
  <si>
    <t>https://www.france-montagnes.com/sit/molines-saint-veran-en-queyras-28838/</t>
  </si>
  <si>
    <t>Mont Serein / Ventoux Sud</t>
  </si>
  <si>
    <t>Vaucluse</t>
  </si>
  <si>
    <t>84340</t>
  </si>
  <si>
    <t>Beaumont-du-Ventoux</t>
  </si>
  <si>
    <t>84015</t>
  </si>
  <si>
    <t>Mont Serein</t>
  </si>
  <si>
    <t>https://reservation.ventouxprovence.fr/</t>
  </si>
  <si>
    <t>7c9b92923d15730930f62c097152088ae43aae3f</t>
  </si>
  <si>
    <t>https://www.france-montagnes.com/sit/mont-serein-ventoux-sud-53026/</t>
  </si>
  <si>
    <t>Montagne de Lure</t>
  </si>
  <si>
    <t>04230</t>
  </si>
  <si>
    <t>Saint-Étienne-les-Orgues</t>
  </si>
  <si>
    <t>04178</t>
  </si>
  <si>
    <t>En activité (selon enneigement)</t>
  </si>
  <si>
    <t>aebef8aafc9fdb00de6017e0569ea8bda070a631</t>
  </si>
  <si>
    <t>https://www.france-montagnes.com/sit/montagne-de-lure-570543/</t>
  </si>
  <si>
    <t>Montclar</t>
  </si>
  <si>
    <t>04126</t>
  </si>
  <si>
    <t>https://www.montclar.com/</t>
  </si>
  <si>
    <t>https://anmsm.media.tourinsoft.eu/upload/Plan-hiver.jpeg</t>
  </si>
  <si>
    <t>45bca953d8f208a9c157a4693c4de513128ac477</t>
  </si>
  <si>
    <t>https://www.france-montagnes.com/sit/montclar-statanmsm01040020/</t>
  </si>
  <si>
    <t>Montgenevre</t>
  </si>
  <si>
    <t>05100</t>
  </si>
  <si>
    <t>Montgenèvre</t>
  </si>
  <si>
    <t>05085</t>
  </si>
  <si>
    <t>https://reservation.montgenevre.com/</t>
  </si>
  <si>
    <t>https://anmsm.media.tourinsoft.eu/upload/050018-09.jpg</t>
  </si>
  <si>
    <t>4de82b980d8c12b83cda0083ec49b22e97cf6224</t>
  </si>
  <si>
    <t>https://www.france-montagnes.com/sit/montgenevre-statanmsm01050018/</t>
  </si>
  <si>
    <t>Névache</t>
  </si>
  <si>
    <t>05093</t>
  </si>
  <si>
    <t>7bf5d8b4-9773-4588-b14d-681ce56296b1</t>
  </si>
  <si>
    <t>https://www.france-montagnes.com/sit/nevache-28805/</t>
  </si>
  <si>
    <t>Orcieres Merlette</t>
  </si>
  <si>
    <t>05170</t>
  </si>
  <si>
    <t>Orcières</t>
  </si>
  <si>
    <t>05096</t>
  </si>
  <si>
    <t>Orcières Merlette</t>
  </si>
  <si>
    <t>https://reservation.orcieres.com/</t>
  </si>
  <si>
    <t>https://anmsm.media.tourinsoft.eu/upload/SITE-WEB---Plan-des-pistes-HIVER-25-26.jpg</t>
  </si>
  <si>
    <t>824c7b22068010ed9590671f95a41f7eaf5f3819</t>
  </si>
  <si>
    <t>https://www.france-montagnes.com/sit/orcieres-merlette-statanmsm01050020/</t>
  </si>
  <si>
    <t>Pelvoux Vallouise</t>
  </si>
  <si>
    <t>05340</t>
  </si>
  <si>
    <t>Vallouise-Pelvoux</t>
  </si>
  <si>
    <t>05101</t>
  </si>
  <si>
    <t>Pelvoux-Vallouise</t>
  </si>
  <si>
    <t>4718a9e65b7c6fcb648d61c9221389fcc3ded97d</t>
  </si>
  <si>
    <t>https://www.france-montagnes.com/sit/pelvoux-vallouise-28808/</t>
  </si>
  <si>
    <t>Pra Loup 1500</t>
  </si>
  <si>
    <t>04400</t>
  </si>
  <si>
    <t>Uvernet-Fours</t>
  </si>
  <si>
    <t>04226</t>
  </si>
  <si>
    <t>Pra Loup 1600</t>
  </si>
  <si>
    <t>Praloup</t>
  </si>
  <si>
    <t>Le Sauze 1400 / Le Super-Sauze 1700</t>
  </si>
  <si>
    <t>0e32d9bd72195acaa33ba6c2d18ba4ad1562a055</t>
  </si>
  <si>
    <t>https://www.france-montagnes.com/sit/praloup-28628/</t>
  </si>
  <si>
    <t>Puy Saint Vincent</t>
  </si>
  <si>
    <t>Puy-Saint-Vincent</t>
  </si>
  <si>
    <t>https://www.paysdesecrins.com/hebergements/</t>
  </si>
  <si>
    <t>https://anmsm.media.tourinsoft.eu/upload/PSV-PLAN-DES-PISTES-2023-LD--1-.pdf</t>
  </si>
  <si>
    <t>abd8fc58a269e575731226a78d77a13b2e38a673</t>
  </si>
  <si>
    <t>https://www.france-montagnes.com/sit/puy-saint-vincent-statanmsm01050022/</t>
  </si>
  <si>
    <t>Puy-Saint-Vincent 1600</t>
  </si>
  <si>
    <t>05290</t>
  </si>
  <si>
    <t>05110</t>
  </si>
  <si>
    <t>Puy-Saint-Vincent 1800</t>
  </si>
  <si>
    <t>Risoul</t>
  </si>
  <si>
    <t>05119</t>
  </si>
  <si>
    <t>https://www.risoul.com/reserver.html</t>
  </si>
  <si>
    <t>https://anmsm.media.tourinsoft.eu/upload/Plan-des-pistes-2023-2024.pdf</t>
  </si>
  <si>
    <t>https://www.france-montagnes.com/sit/risoul-statanmsm01050024/</t>
  </si>
  <si>
    <t>Roubion les Buisses</t>
  </si>
  <si>
    <t>Roubion</t>
  </si>
  <si>
    <t>06110</t>
  </si>
  <si>
    <t>Roubion-Les-Buisses</t>
  </si>
  <si>
    <t>2eee2e4a8934d9d60cb26ca6a8ea58558d0da504</t>
  </si>
  <si>
    <t>https://www.france-montagnes.com/sit/roubion-les-buisses-28880/</t>
  </si>
  <si>
    <t>Réallon</t>
  </si>
  <si>
    <t>05160</t>
  </si>
  <si>
    <t>05114</t>
  </si>
  <si>
    <t>c2d3d65ebe065fbf5a84ab6887168c8403d2fc28</t>
  </si>
  <si>
    <t>https://www.france-montagnes.com/sit/reallon-28814/</t>
  </si>
  <si>
    <t>Saint Michel de Chaillol</t>
  </si>
  <si>
    <t>Saint-Michel-de-Chaillol</t>
  </si>
  <si>
    <t>05153</t>
  </si>
  <si>
    <t>https://www.france-montagnes.com/sit/saint-michel-de-chaillol-28790/</t>
  </si>
  <si>
    <t>Saint-Leger-Les-Melezes</t>
  </si>
  <si>
    <t>Saint-Léger-les-Mélèzes</t>
  </si>
  <si>
    <t>05149</t>
  </si>
  <si>
    <t>Domaine Skiable Saint-Léger-Les-Mélèzes</t>
  </si>
  <si>
    <t>https://www.champsaur3gliss.com/fr/</t>
  </si>
  <si>
    <t>0b3e2debf15563d3d845af1dd2dd094deb27812f</t>
  </si>
  <si>
    <t>https://www.france-montagnes.com/sit/saint-leger-les-melezes-statanmsm2v50321i/</t>
  </si>
  <si>
    <t>Sauze Supersauze</t>
  </si>
  <si>
    <t>Enchastrayes</t>
  </si>
  <si>
    <t>04073</t>
  </si>
  <si>
    <t>https://www.france-montagnes.com/sit/sauze-supersauze-28673/</t>
  </si>
  <si>
    <t>Serre Chevalier Briancon</t>
  </si>
  <si>
    <t>05240</t>
  </si>
  <si>
    <t>La Salle-les-Alpes</t>
  </si>
  <si>
    <t>05161</t>
  </si>
  <si>
    <t>Serre-Chevalier</t>
  </si>
  <si>
    <t>https://reservation.serre-chevalier.com/</t>
  </si>
  <si>
    <t>https://anmsm.media.tourinsoft.eu/upload/Plan-poster.jpg</t>
  </si>
  <si>
    <t>94cb050e1e20e04e822c14216840885aea2eafcc</t>
  </si>
  <si>
    <t>https://www.france-montagnes.com/sit/serre-chevalier-briancon-statanmsm01050027/</t>
  </si>
  <si>
    <t>Serre Chevalier Chantemerle</t>
  </si>
  <si>
    <t>05330</t>
  </si>
  <si>
    <t>Saint-Chaffrey</t>
  </si>
  <si>
    <t>05133</t>
  </si>
  <si>
    <t>Serre Chevalier Le Monêtier</t>
  </si>
  <si>
    <t>05220</t>
  </si>
  <si>
    <t>Le Monêtier-les-Bains</t>
  </si>
  <si>
    <t>05079</t>
  </si>
  <si>
    <t>Serre Chevalier Villeneuve</t>
  </si>
  <si>
    <t>Serre-Eyraud</t>
  </si>
  <si>
    <t>Serre Eyraud</t>
  </si>
  <si>
    <t>https://www.orcieres.com/fr/decouvrir/le-territoire/serre-eyraud/</t>
  </si>
  <si>
    <t>https://anmsm.media.tourinsoft.eu/upload/plan-des-pistes-serre-eyraud-2015.jpg</t>
  </si>
  <si>
    <t>8e3c034982e1e7db4cc5588be8523fbea78d6fa8</t>
  </si>
  <si>
    <t>https://www.france-montagnes.com/sit/serre-eyraud-statanmsm2v500rn5/</t>
  </si>
  <si>
    <t>Seyne les Alpes</t>
  </si>
  <si>
    <t>https://www.france-montagnes.com/sit/seyne-les-alpes-28793/</t>
  </si>
  <si>
    <t>Super Sauze</t>
  </si>
  <si>
    <t>Superdévoluy</t>
  </si>
  <si>
    <t>Val D'Allos</t>
  </si>
  <si>
    <t>https://anmsm.media.tourinsoft.eu/upload/plan-des-pistes-du-val-dallos-2025--1--2.jpg</t>
  </si>
  <si>
    <t>https://www.france-montagnes.com/sit/val-dallos-statanmsm01040017/</t>
  </si>
  <si>
    <t>Valberg</t>
  </si>
  <si>
    <t>06470</t>
  </si>
  <si>
    <t>Péone</t>
  </si>
  <si>
    <t>06094</t>
  </si>
  <si>
    <t>Domaine skiable Valberg</t>
  </si>
  <si>
    <t>https://www.valberg.com/sejourner/reserver-votre-sejour/</t>
  </si>
  <si>
    <t>https://anmsm.media.tourinsoft.eu/upload/valberg-plan-des-pistes-h25-26-1.pdf</t>
  </si>
  <si>
    <t>5e02a077514e10a683d5301822378fcb3b85cc5b</t>
  </si>
  <si>
    <t>https://www.france-montagnes.com/sit/valberg-statanmsm01060023/</t>
  </si>
  <si>
    <t>https://anmsm.media.tourinsoft.eu/upload/24-25-Vars-Risoul-hiver-BD.pdf</t>
  </si>
  <si>
    <t>https://www.france-montagnes.com/sit/vars-statanmsm01050032/</t>
  </si>
  <si>
    <t>Vars Sainte-Marie</t>
  </si>
  <si>
    <t>Bellefontaine</t>
  </si>
  <si>
    <t>Jura</t>
  </si>
  <si>
    <t>39400</t>
  </si>
  <si>
    <t>39047</t>
  </si>
  <si>
    <t>61f896d0f8f1fa986ba3a2fd6b97c40b6d5c4f9a</t>
  </si>
  <si>
    <t>https://www.france-montagnes.com/sit/bellefontaine-28751/</t>
  </si>
  <si>
    <t>Chaux de Gilley</t>
  </si>
  <si>
    <t>Doubs</t>
  </si>
  <si>
    <t>25650</t>
  </si>
  <si>
    <t>La Chaux</t>
  </si>
  <si>
    <t>25139</t>
  </si>
  <si>
    <t>La Cernay Blanche</t>
  </si>
  <si>
    <t>589b293e2084c420e147b8b028e36f31df59928c</t>
  </si>
  <si>
    <t>https://www.france-montagnes.com/sit/chaux-de-gilley-52903/</t>
  </si>
  <si>
    <t>Hauteville - Lompnes</t>
  </si>
  <si>
    <t>Ain</t>
  </si>
  <si>
    <t>01110</t>
  </si>
  <si>
    <t>Plateau d'Hauteville</t>
  </si>
  <si>
    <t>01185</t>
  </si>
  <si>
    <t>Terre Ronde</t>
  </si>
  <si>
    <t>2103d82801e77c41fd0e9f4a678a410a5a58ccd2</t>
  </si>
  <si>
    <t>https://www.france-montagnes.com/sit/hauteville-lompnes-28733/</t>
  </si>
  <si>
    <t>La Combe Saint-Pierre</t>
  </si>
  <si>
    <t>25140</t>
  </si>
  <si>
    <t>Charquemont</t>
  </si>
  <si>
    <t>25127</t>
  </si>
  <si>
    <t>31e79318693b096e929170fb82a93e8a6802bf14</t>
  </si>
  <si>
    <t>https://www.france-montagnes.com/sit/la-combe-saint-pierre-570549/</t>
  </si>
  <si>
    <t>Le Larmont</t>
  </si>
  <si>
    <t>25300</t>
  </si>
  <si>
    <t>Pontarlier</t>
  </si>
  <si>
    <t>25462</t>
  </si>
  <si>
    <t>Les Fourgs</t>
  </si>
  <si>
    <t>600f6e0f4583cb32dcc2934439cd65ff38f3a570</t>
  </si>
  <si>
    <t>https://www.france-montagnes.com/sit/le-larmont-28943/</t>
  </si>
  <si>
    <t>25254</t>
  </si>
  <si>
    <t>https://www.france-montagnes.com/sit/les-fourgs-28940/</t>
  </si>
  <si>
    <t>Les Rousses</t>
  </si>
  <si>
    <t>39220</t>
  </si>
  <si>
    <t>39470</t>
  </si>
  <si>
    <t>c4b221a54713b4e084b5bae02668c68dfaf6c1e3</t>
  </si>
  <si>
    <t>https://www.france-montagnes.com/sit/les-rousses-28757/</t>
  </si>
  <si>
    <t>Monts Jura</t>
  </si>
  <si>
    <t>01410</t>
  </si>
  <si>
    <t>Lélex</t>
  </si>
  <si>
    <t>01210</t>
  </si>
  <si>
    <t>https://www.paysdegex-montsjura.com/</t>
  </si>
  <si>
    <t>https://anmsm.media.tourinsoft.eu/upload/MONTS-JURA-General-hiver-2023-2024-V7-HD.pdf</t>
  </si>
  <si>
    <t>5fbb25804661648ca18a3ca2536a145c6b21d53e</t>
  </si>
  <si>
    <t>https://www.france-montagnes.com/sit/monts-jura-statanmsm01010012/</t>
  </si>
  <si>
    <t>Métabief</t>
  </si>
  <si>
    <t>25370</t>
  </si>
  <si>
    <t>25380</t>
  </si>
  <si>
    <t>Metabief - Mont d'or</t>
  </si>
  <si>
    <t>f8a135103929215d692c27c3b10670b5b8ff1e7b</t>
  </si>
  <si>
    <t>https://www.france-montagnes.com/sit/metabief-28592/</t>
  </si>
  <si>
    <t>Plateau de Retord</t>
  </si>
  <si>
    <t>01260</t>
  </si>
  <si>
    <t>Haut Valromey</t>
  </si>
  <si>
    <t>01187</t>
  </si>
  <si>
    <t>5f08563dbb26f11661870936a69b82df669b2e57</t>
  </si>
  <si>
    <t>https://www.france-montagnes.com/sit/plateau-de-retord-28739/</t>
  </si>
  <si>
    <t>Val de Morteau</t>
  </si>
  <si>
    <t>25500</t>
  </si>
  <si>
    <t>Morteau</t>
  </si>
  <si>
    <t>25411</t>
  </si>
  <si>
    <t>Site du Meix Musy</t>
  </si>
  <si>
    <t>b722a663150d806bff2804582e6db2b14848b153</t>
  </si>
  <si>
    <t>https://www.france-montagnes.com/sit/val-de-morteau-28949/</t>
  </si>
  <si>
    <t>Besse Super Besse</t>
  </si>
  <si>
    <t>Massif Central</t>
  </si>
  <si>
    <t>Puy-de-Dôme</t>
  </si>
  <si>
    <t>63610</t>
  </si>
  <si>
    <t>Besse-et-Saint-Anastaise</t>
  </si>
  <si>
    <t>63038</t>
  </si>
  <si>
    <t>Super Besse</t>
  </si>
  <si>
    <t>https://www.sancy.com/hebergement/</t>
  </si>
  <si>
    <t>https://anmsm.media.tourinsoft.eu/upload/Plan-pistes-Super-Besse-2026---Lumiplan-3524x2000.jpg</t>
  </si>
  <si>
    <t>870daba91bf45e41f76102b45565876b61861a50</t>
  </si>
  <si>
    <t>https://www.france-montagnes.com/sit/besse-super-besse-statanmsm01630000/</t>
  </si>
  <si>
    <t>Loire</t>
  </si>
  <si>
    <t>Chastreix-Sancy</t>
  </si>
  <si>
    <t>63680</t>
  </si>
  <si>
    <t>Chastreix</t>
  </si>
  <si>
    <t>63098</t>
  </si>
  <si>
    <t>16e97c560e05b0379860572fa6d6ca330978ec9a</t>
  </si>
  <si>
    <t>https://www.france-montagnes.com/sit/chastreix-sancy-29012/</t>
  </si>
  <si>
    <t>Croix de Bauzon</t>
  </si>
  <si>
    <t>Ardèche</t>
  </si>
  <si>
    <t>07590</t>
  </si>
  <si>
    <t>Borne</t>
  </si>
  <si>
    <t>07038</t>
  </si>
  <si>
    <t>La Croix de Bauzon</t>
  </si>
  <si>
    <t>10578455ec2bff2f20d63aeb2c7aee65976ba27c</t>
  </si>
  <si>
    <t>https://www.france-montagnes.com/sit/croix-de-bauzon-29288/</t>
  </si>
  <si>
    <t>Espace Aubrac</t>
  </si>
  <si>
    <t>Aveyron</t>
  </si>
  <si>
    <t>12210</t>
  </si>
  <si>
    <t>Laguiole</t>
  </si>
  <si>
    <t>12119</t>
  </si>
  <si>
    <t>b80270bd5882084c5650eaa739d44e38b9290a17</t>
  </si>
  <si>
    <t>https://www.france-montagnes.com/sit/espace-aubrac-57055/</t>
  </si>
  <si>
    <t>La Bourboule</t>
  </si>
  <si>
    <t>63150</t>
  </si>
  <si>
    <t>63047</t>
  </si>
  <si>
    <t>https://www.france-montagnes.com/sit/la-bourboule-29009/</t>
  </si>
  <si>
    <t>La Loge des Gardes</t>
  </si>
  <si>
    <t>Allier</t>
  </si>
  <si>
    <t>03250</t>
  </si>
  <si>
    <t>Laprugne</t>
  </si>
  <si>
    <t>03139</t>
  </si>
  <si>
    <t>0763c0ff12df761a12373760e2218467a07c6614</t>
  </si>
  <si>
    <t>https://www.france-montagnes.com/sit/la-loge-des-gardes-28760/</t>
  </si>
  <si>
    <t>https://www.france-montagnes.com/sit/laguiole-28937/</t>
  </si>
  <si>
    <t>Le Bleymard Mont Lozère</t>
  </si>
  <si>
    <t>Lozère</t>
  </si>
  <si>
    <t>48190</t>
  </si>
  <si>
    <t>Mont Lozère et Goulet</t>
  </si>
  <si>
    <t>48027</t>
  </si>
  <si>
    <t>Station de ski Bleymard Mont Lozère</t>
  </si>
  <si>
    <t>85b5bc2d2c7fd71d59605359152cd23e39674e8d</t>
  </si>
  <si>
    <t>https://www.france-montagnes.com/sit/le-bleymard-mont-lozere-29006/</t>
  </si>
  <si>
    <t>Le Lioran</t>
  </si>
  <si>
    <t>Cantal</t>
  </si>
  <si>
    <t>15300</t>
  </si>
  <si>
    <t>Laveissière</t>
  </si>
  <si>
    <t>15101</t>
  </si>
  <si>
    <t>17bf348db2822fa217ab7118b044c1c33a45928e</t>
  </si>
  <si>
    <t>https://www.france-montagnes.com/sit/le-lioran-28535/</t>
  </si>
  <si>
    <t>Le Mont Dore</t>
  </si>
  <si>
    <t>63240</t>
  </si>
  <si>
    <t>Mont-Dore</t>
  </si>
  <si>
    <t>63236</t>
  </si>
  <si>
    <t>https://anmsm.media.tourinsoft.eu/upload/Plan-pistes-Mt-Dore-sancy-TV---2026---Lumiplan-2250x1080.jpg</t>
  </si>
  <si>
    <t>https://www.france-montagnes.com/sit/le-mont-dore-statanmsm01630008/</t>
  </si>
  <si>
    <t>Les Estables</t>
  </si>
  <si>
    <t>Haute-Loire</t>
  </si>
  <si>
    <t>43150</t>
  </si>
  <si>
    <t>43091</t>
  </si>
  <si>
    <t>590f8cbe99d6d7de46845c2401a92adee919af04</t>
  </si>
  <si>
    <t>https://www.france-montagnes.com/sit/les-estables-29003/</t>
  </si>
  <si>
    <t>Les Monts du Pilat</t>
  </si>
  <si>
    <t>42660</t>
  </si>
  <si>
    <t>Saint-Genest-Malifaux</t>
  </si>
  <si>
    <t>42224</t>
  </si>
  <si>
    <t>En activité (nordique)</t>
  </si>
  <si>
    <t>https://www.france-montagnes.com/sit/les-monts-du-pilat-53014/</t>
  </si>
  <si>
    <t>Prat Peyrot / Mont Aigoual</t>
  </si>
  <si>
    <t>30570</t>
  </si>
  <si>
    <t>Val-d'Aigoual</t>
  </si>
  <si>
    <t>30339</t>
  </si>
  <si>
    <t>Prat-Peyrot</t>
  </si>
  <si>
    <t>4d68ac9b9ced24222df548795fc5e9c4cbe17fef</t>
  </si>
  <si>
    <t>https://www.france-montagnes.com/sit/prat-peyrot-mont-aigoual-53065/</t>
  </si>
  <si>
    <t>Saint-Anthème - Praboure</t>
  </si>
  <si>
    <t>63660</t>
  </si>
  <si>
    <t>Saint-Anthème</t>
  </si>
  <si>
    <t>63319</t>
  </si>
  <si>
    <t>Prabouré</t>
  </si>
  <si>
    <t>6410f37ba325bfa6b5e39152d0dda06298d0e0a8</t>
  </si>
  <si>
    <t>https://www.france-montagnes.com/sit/saint-antheme-praboure-29015/</t>
  </si>
  <si>
    <t>Artouste</t>
  </si>
  <si>
    <t>Pyrénées</t>
  </si>
  <si>
    <t>Pyrénées-Atlantiques</t>
  </si>
  <si>
    <t>64440</t>
  </si>
  <si>
    <t>Laruns</t>
  </si>
  <si>
    <t>64320</t>
  </si>
  <si>
    <t>e734b108335866c1952453769e2d4e13f0f757ae</t>
  </si>
  <si>
    <t>https://www.france-montagnes.com/sit/artouste-29021/</t>
  </si>
  <si>
    <t>Ascou-Pailheres</t>
  </si>
  <si>
    <t>Ariège</t>
  </si>
  <si>
    <t>09110</t>
  </si>
  <si>
    <t>Ascou</t>
  </si>
  <si>
    <t>09023</t>
  </si>
  <si>
    <t>deedc021e3c6f4862d261652d36b41e693d11561</t>
  </si>
  <si>
    <t>https://www.france-montagnes.com/sit/ascou-pailheres-570551/</t>
  </si>
  <si>
    <t>Ax 3 Domaines</t>
  </si>
  <si>
    <t>Ax-les-Thermes</t>
  </si>
  <si>
    <t>09032</t>
  </si>
  <si>
    <t>https://reservation.ax-ski.com/</t>
  </si>
  <si>
    <t>https://anmsm.media.tourinsoft.eu/upload/Plan-pistes-25-26.pdf</t>
  </si>
  <si>
    <t>cb17ba3f010488194237ab23a00c94f211bf46da</t>
  </si>
  <si>
    <t>https://www.france-montagnes.com/sit/ax-3-domaines-statanmsm01090002/</t>
  </si>
  <si>
    <t>Barèges</t>
  </si>
  <si>
    <t>Hautes-Pyrénées</t>
  </si>
  <si>
    <t>65120</t>
  </si>
  <si>
    <t>65481</t>
  </si>
  <si>
    <t>Grand Tourmalet</t>
  </si>
  <si>
    <t>https://www.n-py.com/fr/ete/sejour-pyrenees/hebergement</t>
  </si>
  <si>
    <t>4d9c0191491227da58bc418ee8633c62485f29c8</t>
  </si>
  <si>
    <t>Bolquere Pyrenees 2000</t>
  </si>
  <si>
    <t>Pyrénées-Orientales</t>
  </si>
  <si>
    <t>66210</t>
  </si>
  <si>
    <t>Bolquère</t>
  </si>
  <si>
    <t>66020</t>
  </si>
  <si>
    <t>Font-Romeu Pyrénées 2000, Font-Romeu</t>
  </si>
  <si>
    <t>https://pyrenees2000.com/les-hebergements/</t>
  </si>
  <si>
    <t>4a30e21219abb7c297eea39860578ad22572d0eb</t>
  </si>
  <si>
    <t>https://www.france-montagnes.com/sit/bolquere-pyrenees-2000-statanmsm2v503432/</t>
  </si>
  <si>
    <t>Camurac</t>
  </si>
  <si>
    <t>11340</t>
  </si>
  <si>
    <t>11066</t>
  </si>
  <si>
    <t>dc8e2187c1e7377900c01a0d66634f8d8226477f</t>
  </si>
  <si>
    <t>https://www.france-montagnes.com/sit/camurac-29066/</t>
  </si>
  <si>
    <t>Espiaube</t>
  </si>
  <si>
    <t>65170</t>
  </si>
  <si>
    <t>Saint-Lary-Soulan</t>
  </si>
  <si>
    <t>65388</t>
  </si>
  <si>
    <t>Saint-Lary</t>
  </si>
  <si>
    <t>https://resa.saintlary.com/</t>
  </si>
  <si>
    <t>1a132aee8f40c3ea1e676d4c270d212e1f991dc4</t>
  </si>
  <si>
    <t>Font-Romeu</t>
  </si>
  <si>
    <t>66120</t>
  </si>
  <si>
    <t>Font-Romeu-Odeillo-Via</t>
  </si>
  <si>
    <t>66124</t>
  </si>
  <si>
    <t>https://font-romeu.fr/sejourner/</t>
  </si>
  <si>
    <t>https://anmsm.media.tourinsoft.eu/upload/nouveau-plan-pistes-2015-2.jpg</t>
  </si>
  <si>
    <t>https://www.france-montagnes.com/sit/font-romeu-statanmsm01660011/</t>
  </si>
  <si>
    <t>Formiguères</t>
  </si>
  <si>
    <t>66082</t>
  </si>
  <si>
    <t>4d81480cbbccb41b552f19f6fd0156ba0985d7e8</t>
  </si>
  <si>
    <t>https://www.france-montagnes.com/sit/formigueres-29078/</t>
  </si>
  <si>
    <t>Gavarnie - Gèdre</t>
  </si>
  <si>
    <t>Gavarnie-Gèdre</t>
  </si>
  <si>
    <t>65192</t>
  </si>
  <si>
    <t>1d32483b96030504eb0bf4c6b538fbb2c907685a</t>
  </si>
  <si>
    <t>https://www.france-montagnes.com/sit/gavarnie-gedre-29057/</t>
  </si>
  <si>
    <t>Goulier Neige</t>
  </si>
  <si>
    <t>09220</t>
  </si>
  <si>
    <t>Lercoul</t>
  </si>
  <si>
    <t>09162</t>
  </si>
  <si>
    <t>Goulier-Neige</t>
  </si>
  <si>
    <t>535d5286b8d9d759e97c4727467dd9ad3f1ec13b</t>
  </si>
  <si>
    <t>https://www.france-montagnes.com/sit/goulier-neige-28922/</t>
  </si>
  <si>
    <t>Gourrette</t>
  </si>
  <si>
    <t>Eaux-Bonnes</t>
  </si>
  <si>
    <t>64204</t>
  </si>
  <si>
    <t>Gourette</t>
  </si>
  <si>
    <t>504eff3fdb5510cb38a4f75324fa846fba9728f3</t>
  </si>
  <si>
    <t>https://www.france-montagnes.com/sit/gourrette-29027/</t>
  </si>
  <si>
    <t>65200</t>
  </si>
  <si>
    <t>Bagnères-de-Bigorre</t>
  </si>
  <si>
    <t>65059</t>
  </si>
  <si>
    <t>https://anmsm.media.tourinsoft.eu/upload/plan-pistes-grand-tourmalet-2023-2024.pdf</t>
  </si>
  <si>
    <t>https://www.france-montagnes.com/sit/grand-tourmalet-statanmsm01650008/</t>
  </si>
  <si>
    <t>Guzet</t>
  </si>
  <si>
    <t>09140</t>
  </si>
  <si>
    <t>Ustou</t>
  </si>
  <si>
    <t>09322</t>
  </si>
  <si>
    <t>Guzet-Neige</t>
  </si>
  <si>
    <t>c8f66e784133d6becb1aba654e27b446daa7af7b</t>
  </si>
  <si>
    <t>https://www.france-montagnes.com/sit/guzet-28496/</t>
  </si>
  <si>
    <t>Hautacam</t>
  </si>
  <si>
    <t>65400</t>
  </si>
  <si>
    <t>Argelès-Gazost</t>
  </si>
  <si>
    <t>65025</t>
  </si>
  <si>
    <t>eff3c7c671d2a85838ae69b9e282f04bdf663d44</t>
  </si>
  <si>
    <t>https://www.france-montagnes.com/sit/hautacam-29051/</t>
  </si>
  <si>
    <t>La Mongie</t>
  </si>
  <si>
    <t>Le Cambre d'Aze</t>
  </si>
  <si>
    <t>66800</t>
  </si>
  <si>
    <t>Eyne</t>
  </si>
  <si>
    <t>66075</t>
  </si>
  <si>
    <t>Espace Cambre d'Aze</t>
  </si>
  <si>
    <t>7de1bcf43b60126cd7ec928effe87c5257cfca30</t>
  </si>
  <si>
    <t>https://www.france-montagnes.com/sit/le-cambre-daze-29063/</t>
  </si>
  <si>
    <t>Le Chioula</t>
  </si>
  <si>
    <t>09250</t>
  </si>
  <si>
    <t>Caussou</t>
  </si>
  <si>
    <t>09087</t>
  </si>
  <si>
    <t>https://www.france-montagnes.com/sit/le-chioula-28934/</t>
  </si>
  <si>
    <t>Le Mourtis</t>
  </si>
  <si>
    <t>Haute-Garonne</t>
  </si>
  <si>
    <t>31160</t>
  </si>
  <si>
    <t>Boutx</t>
  </si>
  <si>
    <t>31085</t>
  </si>
  <si>
    <t>77c586f2f94b9428e4f35c9357e43173612b043f</t>
  </si>
  <si>
    <t>https://www.france-montagnes.com/sit/le-mourtis-29312/</t>
  </si>
  <si>
    <t>Le Somport / Candanchu</t>
  </si>
  <si>
    <t>64490</t>
  </si>
  <si>
    <t>Urdos</t>
  </si>
  <si>
    <t>64542</t>
  </si>
  <si>
    <t>Candanchu</t>
  </si>
  <si>
    <t>304d72fa57c50cd759b4ebeff3e48dbee4789b17</t>
  </si>
  <si>
    <t>https://www.france-montagnes.com/sit/le-somport-candanchu-53002/</t>
  </si>
  <si>
    <t>Les Angles</t>
  </si>
  <si>
    <t>66004</t>
  </si>
  <si>
    <t>Les Angles, Els Angles</t>
  </si>
  <si>
    <t>https://lesangles.com/offres-hebergements/</t>
  </si>
  <si>
    <t>https://anmsm.media.tourinsoft.eu/upload/Plan-piste-web.png</t>
  </si>
  <si>
    <t>a2fed1f3149f7c9e4f9ccaac4b8e29f0bfccd632</t>
  </si>
  <si>
    <t>https://www.france-montagnes.com/sit/les-angles-statanmsm01660013/</t>
  </si>
  <si>
    <t>Les Monts d'Olmes</t>
  </si>
  <si>
    <t>09300</t>
  </si>
  <si>
    <t>Montferrier</t>
  </si>
  <si>
    <t>09206</t>
  </si>
  <si>
    <t>d439a81c89522f99d9f58daedda995c9b189d301</t>
  </si>
  <si>
    <t>https://www.france-montagnes.com/sit/les-monts-dolmes-28928/</t>
  </si>
  <si>
    <t>Luz Ardiden</t>
  </si>
  <si>
    <t>Luz-Saint-Sauveur</t>
  </si>
  <si>
    <t>65295</t>
  </si>
  <si>
    <t>Luz-Ardiden</t>
  </si>
  <si>
    <t>73278e0d711effeb45409da2202be6389040f9c6</t>
  </si>
  <si>
    <t>https://www.france-montagnes.com/sit/luz-ardiden-28580/</t>
  </si>
  <si>
    <t>Mijanes - Donezan</t>
  </si>
  <si>
    <t>09460</t>
  </si>
  <si>
    <t>Mijanès</t>
  </si>
  <si>
    <t>09193</t>
  </si>
  <si>
    <t>Mijanès-Donezan</t>
  </si>
  <si>
    <t>80d2fcf669a623c95125a81ccaa82ebe067846a5</t>
  </si>
  <si>
    <t>https://www.france-montagnes.com/sit/mijanes-donezan-28916/</t>
  </si>
  <si>
    <t>Peyragudes</t>
  </si>
  <si>
    <t>31110</t>
  </si>
  <si>
    <t>Gouaux-de-Larboust</t>
  </si>
  <si>
    <t>31221</t>
  </si>
  <si>
    <t>https://www.n-py.com/fr/peyragudes</t>
  </si>
  <si>
    <t>https://anmsm.media.tourinsoft.eu/upload/peyragudes-ALPIN-2025-2026-BD--1-.pdf</t>
  </si>
  <si>
    <t>851128bb56a54648e73d41ecdaca409350648f33</t>
  </si>
  <si>
    <t>https://www.france-montagnes.com/sit/peyragudes-statanmsm01650020/</t>
  </si>
  <si>
    <t>Piau Engaly</t>
  </si>
  <si>
    <t>Aragnouet</t>
  </si>
  <si>
    <t>65017</t>
  </si>
  <si>
    <t>Piau-Engaly</t>
  </si>
  <si>
    <t>e803e6b7f511dd24e94cbe8882324020e9cc013f</t>
  </si>
  <si>
    <t>https://www.france-montagnes.com/sit/piau-engaly-29030/</t>
  </si>
  <si>
    <t>Plateau de Beille</t>
  </si>
  <si>
    <t>09310</t>
  </si>
  <si>
    <t>Albiès</t>
  </si>
  <si>
    <t>09004</t>
  </si>
  <si>
    <t>5e6bb97c-cf7b-49ae-9630-4324e1c44cf7</t>
  </si>
  <si>
    <t>https://www.france-montagnes.com/sit/plateau-de-beille-28925/</t>
  </si>
  <si>
    <t>Porte Puymorens</t>
  </si>
  <si>
    <t>66760</t>
  </si>
  <si>
    <t>Porté-Puymorens</t>
  </si>
  <si>
    <t>66147</t>
  </si>
  <si>
    <t>cede63bd5d98d56e4c424bf3d57e851e57caf33d</t>
  </si>
  <si>
    <t>https://www.france-montagnes.com/sit/porte-puymorens-29069/</t>
  </si>
  <si>
    <t>Puyvalador Rieutort</t>
  </si>
  <si>
    <t>Puyvalador</t>
  </si>
  <si>
    <t>66154</t>
  </si>
  <si>
    <t>e7ac24ed84c16667056f0671a15327c99b55372a</t>
  </si>
  <si>
    <t>https://www.france-montagnes.com/sit/puyvalador-rieutort-29075/</t>
  </si>
  <si>
    <t>Saint Lary Soulan</t>
  </si>
  <si>
    <t>https://anmsm.media.tourinsoft.eu/upload/PlanPistes-2023-hd.jpg</t>
  </si>
  <si>
    <t>https://www.france-montagnes.com/sit/saint-lary-soulan-statanmsm01650013/</t>
  </si>
  <si>
    <t>Saint-Lary Pla d'Adet</t>
  </si>
  <si>
    <t>Superbagnères</t>
  </si>
  <si>
    <t>Saint-Aventin</t>
  </si>
  <si>
    <t>31470</t>
  </si>
  <si>
    <t>59daf3cc15cc3c231203bce41e59f1258093568a</t>
  </si>
  <si>
    <t>https://www.france-montagnes.com/sit/superbagneres-29309/</t>
  </si>
  <si>
    <t>Val Louron</t>
  </si>
  <si>
    <t>65510</t>
  </si>
  <si>
    <t>Loudenvielle</t>
  </si>
  <si>
    <t>65282</t>
  </si>
  <si>
    <t>Val-Louron</t>
  </si>
  <si>
    <t>82115168a1f3e2e458c9b6d977a077cc91fe868d</t>
  </si>
  <si>
    <t>https://www.france-montagnes.com/sit/val-louron-29054/</t>
  </si>
  <si>
    <t>Val d'Azun</t>
  </si>
  <si>
    <t>Arrens-Marsous</t>
  </si>
  <si>
    <t>65032</t>
  </si>
  <si>
    <t>Cauterets Cirque du Lys</t>
  </si>
  <si>
    <t>8a9e6fcb235049131ba0691e922882db19db12c0</t>
  </si>
  <si>
    <t>https://www.france-montagnes.com/sit/val-dazun-29039/</t>
  </si>
  <si>
    <t>Champ Du Feu</t>
  </si>
  <si>
    <t>Vosges</t>
  </si>
  <si>
    <t>Bas-Rhin</t>
  </si>
  <si>
    <t>67130</t>
  </si>
  <si>
    <t>Belmont</t>
  </si>
  <si>
    <t>67027</t>
  </si>
  <si>
    <t>Le Champ du Feu</t>
  </si>
  <si>
    <t>https://www.valleedelabruche.fr/fr/</t>
  </si>
  <si>
    <t>https://anmsm.media.tourinsoft.eu/upload/pistes---nordique---champ-du-feu.pdf</t>
  </si>
  <si>
    <t>072acf7d6df1a4c38de1b0d0d5c7e5147e80fe12</t>
  </si>
  <si>
    <t>https://www.france-montagnes.com/sit/champ-du-feu-statanmsm2v500956/</t>
  </si>
  <si>
    <t>Gerardmer</t>
  </si>
  <si>
    <t>88400</t>
  </si>
  <si>
    <t>Gérardmer</t>
  </si>
  <si>
    <t>88196</t>
  </si>
  <si>
    <t>https://www.gerardmer-reservation.net/</t>
  </si>
  <si>
    <t>7ccf68e28c0dfb0a0d21e0ad24260a5775c63263</t>
  </si>
  <si>
    <t>https://www.france-montagnes.com/sit/gerardmer-statanmsm01880003/</t>
  </si>
  <si>
    <t>La Bresse Brabant</t>
  </si>
  <si>
    <t>88250</t>
  </si>
  <si>
    <t>La Bresse</t>
  </si>
  <si>
    <t>88075</t>
  </si>
  <si>
    <t>bf0921e15d6a701a3e60b313c3fe85a7e6ec78ca</t>
  </si>
  <si>
    <t>https://www.france-montagnes.com/sit/la-bresse-brabant-28907/</t>
  </si>
  <si>
    <t>La Bresse Hohneck</t>
  </si>
  <si>
    <t>La Bresse - Hohneck</t>
  </si>
  <si>
    <t>https://www.labresse.net/hebergements-a-la-bresse-hautes-vosges/</t>
  </si>
  <si>
    <t>https://anmsm.media.tourinsoft.eu/upload/LBM-LBH-Planpistes-2025-26-compressed.pdf</t>
  </si>
  <si>
    <t>2f1bc005a66588a88f53bb3917b1904401f10869</t>
  </si>
  <si>
    <t>https://www.france-montagnes.com/sit/la-bresse-hohneck-statanmsm01880004/</t>
  </si>
  <si>
    <t>La Schlucht</t>
  </si>
  <si>
    <t>88230</t>
  </si>
  <si>
    <t>Le Valtin</t>
  </si>
  <si>
    <t>88492</t>
  </si>
  <si>
    <t>740af4f18d491624d3aef334b04f0e741cc4b989</t>
  </si>
  <si>
    <t>https://www.france-montagnes.com/sit/la-schlucht-28868/</t>
  </si>
  <si>
    <t>Le Ballon d'Alsace</t>
  </si>
  <si>
    <t>Territoire de Belfort</t>
  </si>
  <si>
    <t>90200</t>
  </si>
  <si>
    <t>Lepuix</t>
  </si>
  <si>
    <t>90065</t>
  </si>
  <si>
    <t>Ballon d'Alsace</t>
  </si>
  <si>
    <t>d39336da0c51e94780c04757b4430dda81cd4e79</t>
  </si>
  <si>
    <t>https://www.france-montagnes.com/sit/le-ballon-dalsace-29282/</t>
  </si>
  <si>
    <t>Le Frenz</t>
  </si>
  <si>
    <t>Haut-Rhin</t>
  </si>
  <si>
    <t>68800</t>
  </si>
  <si>
    <t>Vieux-Thann</t>
  </si>
  <si>
    <t>68348</t>
  </si>
  <si>
    <t>Thanner Hubel</t>
  </si>
  <si>
    <t>73a36fe69f80cbfd01cba8177d8b39ce83d88ffd</t>
  </si>
  <si>
    <t>https://www.france-montagnes.com/sit/le-frenz-29108/</t>
  </si>
  <si>
    <t>Le Lac Blanc</t>
  </si>
  <si>
    <t>68650</t>
  </si>
  <si>
    <t>Le Bonhomme</t>
  </si>
  <si>
    <t>68044</t>
  </si>
  <si>
    <t>Lac Blanc</t>
  </si>
  <si>
    <t>https://www.lac-blanc.com/</t>
  </si>
  <si>
    <t>https://anmsm.media.tourinsoft.eu/upload/Plan-descente-station-Lac-Blanc-Heloise-Cuny.jpg</t>
  </si>
  <si>
    <t>dcd36cf6725c031a123b372273fbe01e28f30fd9</t>
  </si>
  <si>
    <t>https://www.france-montagnes.com/sit/le-lac-blanc-statanmsm01680002/</t>
  </si>
  <si>
    <t>Le Markstein</t>
  </si>
  <si>
    <t>68470</t>
  </si>
  <si>
    <t>Fellering</t>
  </si>
  <si>
    <t>68089</t>
  </si>
  <si>
    <t>b3e6cffb7141aca7afe44bab3d242d7c89e2688a</t>
  </si>
  <si>
    <t>https://www.france-montagnes.com/sit/le-markstein-29102/</t>
  </si>
  <si>
    <t>Le Schlumpf</t>
  </si>
  <si>
    <t>68290</t>
  </si>
  <si>
    <t>Dolleren</t>
  </si>
  <si>
    <t>68073</t>
  </si>
  <si>
    <t>ac3a0f546311d88ae9da0dc745cca41a4da82d3d</t>
  </si>
  <si>
    <t>https://www.france-montagnes.com/sit/le-schlumpf-29090/</t>
  </si>
  <si>
    <t>Lispach - La Bresse</t>
  </si>
  <si>
    <t>https://www.france-montagnes.com/sit/lispach-la-bresse-570520/</t>
  </si>
  <si>
    <t>Saint Maurice Sur Moselle</t>
  </si>
  <si>
    <t>88560</t>
  </si>
  <si>
    <t>Saint-Maurice-sur-Moselle</t>
  </si>
  <si>
    <t>88426</t>
  </si>
  <si>
    <t>https://www.ballons-hautes-vosges.com/</t>
  </si>
  <si>
    <t>https://anmsm.media.tourinsoft.eu/upload/Plan-des-piste-Rouge-Gazon.jpg</t>
  </si>
  <si>
    <t>d87f58524a97c6acc9b47835b1e2ac001afb3bfa</t>
  </si>
  <si>
    <t>https://www.france-montagnes.com/sit/saint-maurice-sur-moselle-statanmsm01880008/</t>
  </si>
  <si>
    <t>Schnepfenried</t>
  </si>
  <si>
    <t>68380</t>
  </si>
  <si>
    <t>Sondernach</t>
  </si>
  <si>
    <t>68311</t>
  </si>
  <si>
    <t>Station de ski du Schnepfenried</t>
  </si>
  <si>
    <t>d3946db5ab19934a1e1f6a508c1997b2faf46f42</t>
  </si>
  <si>
    <t>https://www.france-montagnes.com/sit/schnepfenried-29111/</t>
  </si>
  <si>
    <t>Ventron</t>
  </si>
  <si>
    <t>88310</t>
  </si>
  <si>
    <t>88500</t>
  </si>
  <si>
    <t>https://www.hautes-vosges.net/info-/-reservation.html</t>
  </si>
  <si>
    <t>8c4e03ed6d937fefe9fb9ae812fa2e4775cb43ff</t>
  </si>
  <si>
    <t>https://www.france-montagnes.com/sit/ventron-statanmsm01880009/</t>
  </si>
  <si>
    <t>Xonrupt Longemer</t>
  </si>
  <si>
    <t>Xonrupt-Longemer</t>
  </si>
  <si>
    <t>88531</t>
  </si>
  <si>
    <t>La Bresse - Lispach</t>
  </si>
  <si>
    <t>e57ba4e6e53f281e1343b68a96a54629d5be1c8a</t>
  </si>
  <si>
    <t>https://www.france-montagnes.com/sit/xonrupt-longemer-53095/</t>
  </si>
  <si>
    <t>la Planche des Belles Filles</t>
  </si>
  <si>
    <t>Haute-Saône</t>
  </si>
  <si>
    <t>70290</t>
  </si>
  <si>
    <t>Plancher-les-Mines</t>
  </si>
  <si>
    <t>70414</t>
  </si>
  <si>
    <t>La Planche-des-Belles-Filles</t>
  </si>
  <si>
    <t>e48d0bf9934f4b3e12474a2a7c69596f315d196b</t>
  </si>
  <si>
    <t>https://www.france-montagnes.com/sit/la-planche-des-belles-filles-29853/</t>
  </si>
  <si>
    <t>Répartition des stations par massif</t>
  </si>
  <si>
    <t>Lignes (stations + villages)</t>
  </si>
  <si>
    <t>Avec domaine skiable</t>
  </si>
  <si>
    <t>Distance Paris moyenne (km)</t>
  </si>
  <si>
    <t>Altitude village moyenne (m)</t>
  </si>
  <si>
    <t>Haut des pistes le plus élevé (m)</t>
  </si>
  <si>
    <t>Stations skiant au-dessus de 2 000 m</t>
  </si>
  <si>
    <t>TOTAL</t>
  </si>
  <si>
    <t>Paramètres, sources et limites du fichier</t>
  </si>
  <si>
    <t>Point de référence</t>
  </si>
  <si>
    <t>Paris (Notre-Dame)</t>
  </si>
  <si>
    <t>Latitude référence</t>
  </si>
  <si>
    <t>Longitude référence</t>
  </si>
  <si>
    <t>Rayon terrestre (km)</t>
  </si>
  <si>
    <t>Sources</t>
  </si>
  <si>
    <t>Stations, contacts et liens de réservation : France Montagnes (https://www.france-montagnes.com/les-stations-de-ski/), relevé du 18/08/2026, 233 stations. — Altitudes, longueurs de pistes et remontées : OpenSkiMap (https://tiles.openskimap.org/geojson/, export du 17/08/2026), qui agrège OpenStreetMap. — Altitude du village : IGN, RGE ALTI via l'API altimétrie de la Géoplateforme.</t>
  </si>
  <si>
    <t>Distance orthodromique (à vol d'oiseau) calculée par formule depuis B4/B5. Ce n'est PAS une distance routière : comptez environ 1,25 à 1,4 fois cette valeur par la route. Modifiez B4/B5 pour recalculer depuis un autre point de départ.</t>
  </si>
  <si>
    <t>Altitude du sol au point exact de la station (coordonnées des colonnes F/G), interrogée sur le modèle numérique de terrain RGE ALTI de l'IGN. C'est l'altitude du village ou du front de neige, pas celle du domaine.</t>
  </si>
  <si>
    <t>Bas / haut des pistes</t>
  </si>
  <si>
    <t>Altitudes minimale et maximale relevées sur les tracés de pistes alpines du domaine skiable rattaché, calculées sur les 14 616 pistes françaises en exploitation d'OpenSkiMap (9 915 km cumulés). Ce sont des altitudes de DOMAINE : deux stations d'un même domaine relié (Les 3 Vallées, Paradiski, Espace Diamant…) portent logiquement les mêmes valeurs. Le dénivelé est la différence des deux, calculée par formule.</t>
  </si>
  <si>
    <t>Rattachement au domaine</t>
  </si>
  <si>
    <t>Chaque station est rattachée au domaine skiable dont les pistes sont les plus proches de ses coordonnées, par vote pondéré par la distance — et non par ressemblance de noms, trop fragile. La colonne « Distance station-pistes » donne l'écart à la piste la plus proche et la colonne « Fiabilité » le qualifie. Au-delà de 5 km, vérifiez avant d'exploiter la ligne.</t>
  </si>
  <si>
    <t>Colonnes de comptage</t>
  </si>
  <si>
    <t>« Pistes du domaine (km) », « Nombre de pistes », « Vertes / bleues », « Rouges / noires » et « Remontées mécaniques » décrivent le domaine entier, pas le secteur propre à la station. Les kilomètres sont mesurés sur les tracés OpenStreetMap et diffèrent souvent des chiffres commerciaux affichés par les stations.</t>
  </si>
  <si>
    <t>Chiffre repris du texte de présentation de la station quand il y figure (46 stations sur 233). Conservé à part pour pouvoir le confronter au calcul OpenSkiMap ; une cellule vide signifie « non communiqué », pas « zéro ».</t>
  </si>
  <si>
    <t>Stations sans domaine</t>
  </si>
  <si>
    <t>9 stations n'ont aucune piste alpine cartographiée à moins de 15 km : Saint-Colomban-des-Villards, Le Chioula, Val de Morteau, Audibergue, Valdrôme, Névache, Artouste, Les Monts du Pilat, Soleilhas-Vauplane. Certaines sont à dominante nordique, d'autres sont simplement absentes d'OpenStreetMap. Leurs colonnes d'altitude de domaine sont vides — c'est une lacune connue, pas un zéro.</t>
  </si>
  <si>
    <t>Coordonnées</t>
  </si>
  <si>
    <t>Reprises des fiches France Montagnes puis contrôlées une à une par géocodage inverse (la commune trouvée doit correspondre au département du code postal) et par cohérence avec le domaine skiable rattaché. 33 stations échouaient à ces contrôles — certaines étaient placées à plus de 500 km de leur massif — et ont été recalées sur le chef-lieu de leur commune (API Adresse, data.gouv.fr) ou sur le centre du domaine (OpenSkiMap). La colonne « Origine coordonnées » indique la provenance ligne par ligne.</t>
  </si>
  <si>
    <t>Nommage d'un domaine</t>
  </si>
  <si>
    <t>OpenSkiMap étiquette l'ensemble du versant français des Portes du Soleil (9 stations, 494 km, 195 remontées) sous le nom d'un de ses secteurs, « Roc d'Enfer (La Grande Terche) ». La colonne « Domaine skiable » affiche « Portes du Soleil (versant français) » ; l'identifiant OpenSkiMap de la colonne AE reste celui de la source.</t>
  </si>
  <si>
    <t>Réservation officielle</t>
  </si>
  <si>
    <t>Trois sources, dans cet ordre de priorité : la liste d'URL que vous avez fournie (45), la page « sites de réservation » de France Montagnes (91 entrées, relevé du 18/08/2026), puis le lien « Réserver en ligne » de la fiche station. À défaut, le site officiel de la station a été lu pour y repérer un lien de réservation ; ces détections ne sont retenues que si l'hôte est un sous-domaine dédié (reservation./resa./booking.), partage le domaine du site officiel, ou correspond à un moteur connu. 101 stations sur 233 ont un lien. La colonne « Source du lien » dit d'où vient chaque URL, et porte le motif quand aucun lien n'a été retenu.</t>
  </si>
  <si>
    <t>Plateforme détectée en lisant la page de réservation (empreintes dans le HTML et l'URL finale). Ingénie/Genius 35, Open System 15, Ceto/Orchestra 10, Eliberty 4, Ublo (ex-Valraiso/MSEM) 3, WooCommerce 3, Elloha 1, Yoplanning 1 ; 29 non identifiés, le plus souvent parce que le moteur est chargé après un clic ou dans une iframe. C'est une observation à une date donnée, pas un engagement du prestataire.</t>
  </si>
  <si>
    <t>Communes et codes postaux vérifiés</t>
  </si>
  <si>
    <t>Chaque couple commune/CP a été confronté au fichier officiel La Poste (base « hexasmal », datanova.laposte.fr) et à la commune contenant réellement le point GPS (contours geo.api.gouv.fr). Résultat : 123 couples cohérents, 15 noms qui sont en réalité des lieux-dits officiels (Ligne 5 La Poste : La Toussuire, Val Thorens, Méribel…) — la colonne Commune porte alors la commune de rattachement —, 76 noms remplacés (nom de station, de domaine ou d'office utilisé à la place de la commune), 15 CP corrigés et 4 complétés. La colonne « Contrôle commune / code postal » détaille le verdict ligne par ligne, avec l'ancienne valeur quand elle a été remplacée. Ce contrôle a aussi révélé 15 stations aux coordonnées fausses dans la source (Artouste placée à Pau, Le Chioula dans les Landes, Le Markstein près de Mulhouse…), repositionnées manuellement sur l'emplacement réel de la station puis retraitées de bout en bout : commune, altitude, domaine skiable, distances.</t>
  </si>
  <si>
    <t>Statut d'activité (18/08/2026)</t>
  </si>
  <si>
    <t>Vérifié en croisant le statut OpenSkiMap des domaines (mis à jour par la communauté OpenStreetMap, qui retire les pistes des stations fermées) et la presse récente. Fermetures confirmées : La Sambuy (2023, démantelée 2025), Le Grand Puy (2024, démontage 2025), Puigmal (alpin arrêté 2013, relance liquidée fin 2023). Chalmazel est restée fermée l'hiver 2025-2026 (avenir en discussion). Situations dégradées : Saint-Colomban-des-Villards (liaison Sybelles à l'arrêt), Saint-Pierre-de-Chartreuse (téléportés démontés fin 2025), Hautacam (abandon du ski alpin sur la quasi-totalité du domaine). Alpe du Grand Serre ouverte mais reprise par la commune au 01/04/2026. Val d'Allos : référendum en juin 2026 sur l'avenir du Seignus. 4 stations restent « à vérifier » faute de source fiable. Ce statut est une photographie au 18/08/2026 : revérifiez avant la saison 2026-2027.</t>
  </si>
  <si>
    <t>Altitude médiane et % ≥ 2 000 m</t>
  </si>
  <si>
    <t>Calculés sur les tracés de pistes avec leur profil d'élévation : chaque segment de piste est pondéré par sa longueur. L'altitude médiane est celle en dessous et au-dessus de laquelle se trouve la moitié des kilomètres du domaine ; le pourcentage est la part des kilomètres situés à 2 000 m ou plus. Ces deux indicateurs corrigent l'illusion du min/max : l'Espace Diamant culmine à 2 054 m mais n'a que 1 % de ses kilomètres au-dessus de 2 000 m (médiane 1 660 m), quand Les 2 Alpes en ont 78 % (médiane 2 500 m). Comme les altitudes min/max, ce sont des valeurs de DOMAINE, identiques pour toutes les stations d'un même domaine relié.</t>
  </si>
  <si>
    <t>Pistes par couleur</t>
  </si>
  <si>
    <t>Comptage OpenStreetMap par difficulté, à l'échelle du DOMAINE relié : novice → verte, easy → bleue, intermediate → rouge, advanced/expert/extreme → noire. La colonne « Non classées / freeride » regroupe les tracés sans difficulté renseignée et les itinéraires freeride ; la somme des cinq colonnes égale le « Nombre de pistes ». Attention : OSM compte les TRONÇONS de pistes, pas les pistes commerciales — un domaine affichant 150 pistes sur son plan peut en porter 400 dans OSM. Les proportions entre couleurs restent significatives, les valeurs absolues surestiment.</t>
  </si>
  <si>
    <t>Villages-stations ajoutés</t>
  </si>
  <si>
    <t>57 lignes de type « Village-station » complètent les 233 stations du catalogue France Montagnes : les villages d'altitude des grands domaines reliés (Arc 1600 à 2000, les six villages de La Plagne, Aime 2000, Montchavin, Les Coches, Val Claret, Tignes le Lac, Méribel-Mottaret, La Tania, les niveaux de Courchevel, les villages de Serre Chevalier, de Val Cenis, des Orres, de Vars, La Mongie, Barèges, le Pla d'Adet…). Position : nœuds « place » d'OpenStreetMap (Nominatim), altitude contrôlée sur le RGE ALTI de l'IGN, commune par contour officiel, CP La Poste. Colonnes France Montagnes (téléphone, office, fiche) vides par construction ; le lien de réservation est hérité de la station principale du même domaine quand il existe (colonne « Source du lien »). Ces lignes se filtrent par la colonne « Type ».</t>
  </si>
  <si>
    <t>Anomalie source signalée</t>
  </si>
  <si>
    <t>Prat Peyrot / Mont Aigoual : la fiche France Montagnes donne une adresse à Saint-Urcize (15110, Cantal) alors que la station est au Mont Aigoual (Gard). Commune, code postal et coordonnées corrigés ; la mention figure dans la colonne « Présentation » de la ligne.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</si>
</sst>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
  </numFmts>
  <fonts count="8" x14ac:knownFonts="1">
    <font>
      <sz val="11"/>
      <color theme="1"/>
      <name val="Calibri"/>
      <family val="2"/>
      <charset val="1"/>
    </font>
    <font>
      <b/>
      <sz val="10"/>
      <color rgb="FFFFFFFF"/>
      <name val="Arial"/>
      <charset val="1"/>
    </font>
    <font>
      <b/>
      <sz val="10"/>
      <name val="Arial"/>
      <charset val="1"/>
    </font>
    <font>
      <sz val="10"/>
      <name val="Arial"/>
      <charset val="1"/>
    </font>
    <font>
      <u/>
      <sz val="10"/>
      <color rgb="FF0563C1"/>
      <name val="Arial"/>
      <charset val="1"/>
    </font>
    <font>
      <b/>
      <sz val="12"/>
      <name val="Arial"/>
      <charset val="1"/>
    </font>
    <font>
      <sz val="10"/>
      <color rgb="FF0000FF"/>
      <name val="Arial"/>
      <charset val="1"/>
    </font>
    <font>
      <b/>
      <sz val="10"/>
      <name val="Arial"/>
      <family val="2"/>
    </font>
  </fonts>
  <fills count="4">
    <fill>
      <patternFill patternType="none"/>
    </fill>
    <fill>
      <patternFill patternType="gray125"/>
    </fill>
    <fill>
      <patternFill patternType="solid">
        <fgColor rgb="FF1F4E79"/>
        <bgColor rgb="FF003366"/>
      </patternFill>
    </fill>
    <fill>
      <patternFill patternType="solid">
        <fgColor rgb="FFFFFF00"/>
        <bgColor rgb="FFFFFF00"/>
      </patternFill>
    </fill>
  </fills>
  <borders count="2">
    <border>
      <left/>
      <right/>
      <top/>
      <bottom/>
      <diagonal/>
    </border>
    <border>
      <left/>
      <right/>
      <top/>
      <bottom style="thin">
        <color rgb="FFBFBFBF"/>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xf>
    <xf numFmtId="0" fontId="3" fillId="0" borderId="1" xfId="0" applyFont="1" applyBorder="1" applyAlignment="1">
      <alignment vertical="top"/>
    </xf>
    <xf numFmtId="49" fontId="3" fillId="0" borderId="1" xfId="0" applyNumberFormat="1" applyFont="1" applyBorder="1" applyAlignment="1">
      <alignment vertical="top"/>
    </xf>
    <xf numFmtId="164" fontId="3" fillId="0" borderId="1" xfId="0" applyNumberFormat="1" applyFont="1" applyBorder="1" applyAlignment="1">
      <alignment vertical="top"/>
    </xf>
    <xf numFmtId="3" fontId="3" fillId="0" borderId="1" xfId="0" applyNumberFormat="1" applyFont="1" applyBorder="1" applyAlignment="1">
      <alignment vertical="top"/>
    </xf>
    <xf numFmtId="3" fontId="2" fillId="0" borderId="1" xfId="0" applyNumberFormat="1" applyFont="1" applyBorder="1" applyAlignment="1">
      <alignment vertical="top"/>
    </xf>
    <xf numFmtId="9" fontId="2" fillId="0" borderId="1" xfId="0" applyNumberFormat="1" applyFont="1" applyBorder="1" applyAlignment="1">
      <alignment vertical="top"/>
    </xf>
    <xf numFmtId="165" fontId="3" fillId="0" borderId="1" xfId="0" applyNumberFormat="1" applyFont="1" applyBorder="1" applyAlignment="1">
      <alignment vertical="top"/>
    </xf>
    <xf numFmtId="166" fontId="3" fillId="0" borderId="1" xfId="0" applyNumberFormat="1" applyFont="1" applyBorder="1" applyAlignment="1">
      <alignment vertical="top"/>
    </xf>
    <xf numFmtId="0" fontId="4" fillId="0" borderId="1" xfId="0" applyFont="1" applyBorder="1" applyAlignment="1">
      <alignment vertical="top"/>
    </xf>
    <xf numFmtId="0" fontId="5" fillId="0" borderId="0" xfId="0" applyFont="1"/>
    <xf numFmtId="0" fontId="1" fillId="2" borderId="0" xfId="0" applyFont="1" applyFill="1" applyAlignment="1">
      <alignment horizontal="center" wrapText="1"/>
    </xf>
    <xf numFmtId="0" fontId="3" fillId="0" borderId="0" xfId="0" applyFont="1"/>
    <xf numFmtId="3" fontId="3" fillId="0" borderId="0" xfId="0" applyNumberFormat="1" applyFont="1"/>
    <xf numFmtId="0" fontId="2" fillId="0" borderId="0" xfId="0" applyFont="1"/>
    <xf numFmtId="3" fontId="2" fillId="0" borderId="0" xfId="0" applyNumberFormat="1" applyFont="1"/>
    <xf numFmtId="0" fontId="6" fillId="3" borderId="0" xfId="0" applyFont="1" applyFill="1"/>
    <xf numFmtId="0" fontId="3" fillId="0" borderId="0" xfId="0" applyFont="1" applyAlignment="1">
      <alignment vertical="top" wrapText="1"/>
    </xf>
    <xf numFmtId="0" fontId="7" fillId="0" borderId="1" xfId="0" applyFont="1"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nmsm.media.tourinsoft.eu/upload/plandespistes-grandbornand-2026-lumiplan-light.pdf" TargetMode="External"/><Relationship Id="rId299" Type="http://schemas.openxmlformats.org/officeDocument/2006/relationships/hyperlink" Target="https://www.france-montagnes.com/sit/les-orres-statanmsm01050016/" TargetMode="External"/><Relationship Id="rId21" Type="http://schemas.openxmlformats.org/officeDocument/2006/relationships/hyperlink" Target="https://www.france-montagnes.com/sit/auris-en-oisans-28430/" TargetMode="External"/><Relationship Id="rId63" Type="http://schemas.openxmlformats.org/officeDocument/2006/relationships/hyperlink" Target="https://www.france-montagnes.com/sit/courchevel-statanmsm01730010/" TargetMode="External"/><Relationship Id="rId159" Type="http://schemas.openxmlformats.org/officeDocument/2006/relationships/hyperlink" Target="https://reservations.meribel.net/?lang=fr_FR" TargetMode="External"/><Relationship Id="rId324" Type="http://schemas.openxmlformats.org/officeDocument/2006/relationships/hyperlink" Target="https://www.paysdesecrins.com/hebergements/" TargetMode="External"/><Relationship Id="rId366" Type="http://schemas.openxmlformats.org/officeDocument/2006/relationships/hyperlink" Target="https://www.france-montagnes.com/sit/plateau-de-retord-28739/" TargetMode="External"/><Relationship Id="rId170" Type="http://schemas.openxmlformats.org/officeDocument/2006/relationships/hyperlink" Target="https://www.france-montagnes.com/sit/morzine-28607/" TargetMode="External"/><Relationship Id="rId226" Type="http://schemas.openxmlformats.org/officeDocument/2006/relationships/hyperlink" Target="https://reservation.haute-maurienne-vanoise.com/ac57-val-cenis.htm" TargetMode="External"/><Relationship Id="rId433" Type="http://schemas.openxmlformats.org/officeDocument/2006/relationships/hyperlink" Target="https://anmsm.media.tourinsoft.eu/upload/pistes---nordique---champ-du-feu.pdf" TargetMode="External"/><Relationship Id="rId268" Type="http://schemas.openxmlformats.org/officeDocument/2006/relationships/hyperlink" Target="https://www.france-montagnes.com/sit/ancelle-village-station-28844/" TargetMode="External"/><Relationship Id="rId32" Type="http://schemas.openxmlformats.org/officeDocument/2006/relationships/hyperlink" Target="https://www.france-montagnes.com/sit/bessans-28448/" TargetMode="External"/><Relationship Id="rId74" Type="http://schemas.openxmlformats.org/officeDocument/2006/relationships/hyperlink" Target="https://www.france-montagnes.com/sit/fond-durle-29297/" TargetMode="External"/><Relationship Id="rId128" Type="http://schemas.openxmlformats.org/officeDocument/2006/relationships/hyperlink" Target="https://www.les7laux.com/hiver/" TargetMode="External"/><Relationship Id="rId335" Type="http://schemas.openxmlformats.org/officeDocument/2006/relationships/hyperlink" Target="https://anmsm.media.tourinsoft.eu/upload/Plan-poster.jpg" TargetMode="External"/><Relationship Id="rId377" Type="http://schemas.openxmlformats.org/officeDocument/2006/relationships/hyperlink" Target="https://www.france-montagnes.com/sit/le-bleymard-mont-lozere-29006/" TargetMode="External"/><Relationship Id="rId5" Type="http://schemas.openxmlformats.org/officeDocument/2006/relationships/hyperlink" Target="https://anmsm.media.tourinsoft.eu/upload/Plan-pistes---Albiez-hiver-2023-2024.pdf" TargetMode="External"/><Relationship Id="rId181" Type="http://schemas.openxmlformats.org/officeDocument/2006/relationships/hyperlink" Target="https://www.france-montagnes.com/sit/oz-3300-statanmsm2v502tsp/" TargetMode="External"/><Relationship Id="rId237" Type="http://schemas.openxmlformats.org/officeDocument/2006/relationships/hyperlink" Target="https://anmsm.media.tourinsoft.eu/upload/FR-EN-Plan-des-pistes-HD-2025-26-BAT-FINAL.jpg" TargetMode="External"/><Relationship Id="rId402" Type="http://schemas.openxmlformats.org/officeDocument/2006/relationships/hyperlink" Target="https://www.france-montagnes.com/sit/gourrette-29027/" TargetMode="External"/><Relationship Id="rId279" Type="http://schemas.openxmlformats.org/officeDocument/2006/relationships/hyperlink" Target="http://stations-greolieres-audibergue.com/" TargetMode="External"/><Relationship Id="rId444" Type="http://schemas.openxmlformats.org/officeDocument/2006/relationships/hyperlink" Target="https://www.lac-blanc.com/" TargetMode="External"/><Relationship Id="rId139" Type="http://schemas.openxmlformats.org/officeDocument/2006/relationships/hyperlink" Target="https://anmsm.media.tourinsoft.eu/upload/Plan-Les-Contamines-2019-2020-V2-HD---logo.jpg" TargetMode="External"/><Relationship Id="rId290" Type="http://schemas.openxmlformats.org/officeDocument/2006/relationships/hyperlink" Target="https://www.france-montagnes.com/sit/laye-en-champsaur-28862/" TargetMode="External"/><Relationship Id="rId304" Type="http://schemas.openxmlformats.org/officeDocument/2006/relationships/hyperlink" Target="https://www.france-montagnes.com/sit/mont-serein-ventoux-sud-53026/" TargetMode="External"/><Relationship Id="rId346" Type="http://schemas.openxmlformats.org/officeDocument/2006/relationships/hyperlink" Target="https://anmsm.media.tourinsoft.eu/upload/plan-des-pistes-du-val-dallos-2025--1--2.jpg" TargetMode="External"/><Relationship Id="rId388" Type="http://schemas.openxmlformats.org/officeDocument/2006/relationships/hyperlink" Target="https://reservation.ax-ski.com/" TargetMode="External"/><Relationship Id="rId85" Type="http://schemas.openxmlformats.org/officeDocument/2006/relationships/hyperlink" Target="https://anmsm.media.tourinsoft.eu/upload/PLAN-des-PISTES-24-25-web3.pdf" TargetMode="External"/><Relationship Id="rId150" Type="http://schemas.openxmlformats.org/officeDocument/2006/relationships/hyperlink" Target="https://www.france-montagnes.com/sit/les-menuires-statanmsm01730030/" TargetMode="External"/><Relationship Id="rId192" Type="http://schemas.openxmlformats.org/officeDocument/2006/relationships/hyperlink" Target="https://www.laplagneresort.com/" TargetMode="External"/><Relationship Id="rId206" Type="http://schemas.openxmlformats.org/officeDocument/2006/relationships/hyperlink" Target="https://fr.locationsaintmartin.com/" TargetMode="External"/><Relationship Id="rId413" Type="http://schemas.openxmlformats.org/officeDocument/2006/relationships/hyperlink" Target="https://anmsm.media.tourinsoft.eu/upload/Plan-piste-web.png" TargetMode="External"/><Relationship Id="rId248" Type="http://schemas.openxmlformats.org/officeDocument/2006/relationships/hyperlink" Target="https://anmsm.media.tourinsoft.eu/upload/plan-des-pistes-2425.pdf" TargetMode="External"/><Relationship Id="rId455" Type="http://schemas.openxmlformats.org/officeDocument/2006/relationships/hyperlink" Target="https://www.france-montagnes.com/sit/ventron-statanmsm01880009/" TargetMode="External"/><Relationship Id="rId12" Type="http://schemas.openxmlformats.org/officeDocument/2006/relationships/hyperlink" Target="https://www.france-montagnes.com/sit/alpe-du-grand-serre-statanmsm01380002/" TargetMode="External"/><Relationship Id="rId108" Type="http://schemas.openxmlformats.org/officeDocument/2006/relationships/hyperlink" Target="https://col-marcieu.com/" TargetMode="External"/><Relationship Id="rId315" Type="http://schemas.openxmlformats.org/officeDocument/2006/relationships/hyperlink" Target="https://www.france-montagnes.com/sit/orcieres-merlette-statanmsm01050020/" TargetMode="External"/><Relationship Id="rId357" Type="http://schemas.openxmlformats.org/officeDocument/2006/relationships/hyperlink" Target="https://www.france-montagnes.com/sit/hauteville-lompnes-28733/" TargetMode="External"/><Relationship Id="rId54" Type="http://schemas.openxmlformats.org/officeDocument/2006/relationships/hyperlink" Target="https://www.france-montagnes.com/sit/col-dornon-28976/" TargetMode="External"/><Relationship Id="rId96" Type="http://schemas.openxmlformats.org/officeDocument/2006/relationships/hyperlink" Target="https://www.larosiere.net/" TargetMode="External"/><Relationship Id="rId161" Type="http://schemas.openxmlformats.org/officeDocument/2006/relationships/hyperlink" Target="https://www.france-montagnes.com/sit/meribel-statanmsm01730032/" TargetMode="External"/><Relationship Id="rId217" Type="http://schemas.openxmlformats.org/officeDocument/2006/relationships/hyperlink" Target="https://www.france-montagnes.com/sit/saint-pancrace-les-bottieres-29174/" TargetMode="External"/><Relationship Id="rId399" Type="http://schemas.openxmlformats.org/officeDocument/2006/relationships/hyperlink" Target="https://www.france-montagnes.com/sit/formigueres-29078/" TargetMode="External"/><Relationship Id="rId259" Type="http://schemas.openxmlformats.org/officeDocument/2006/relationships/hyperlink" Target="https://anmsm.media.tourinsoft.eu/upload/380034-09.jpg" TargetMode="External"/><Relationship Id="rId424" Type="http://schemas.openxmlformats.org/officeDocument/2006/relationships/hyperlink" Target="https://www.france-montagnes.com/sit/puyvalador-rieutort-29075/" TargetMode="External"/><Relationship Id="rId23" Type="http://schemas.openxmlformats.org/officeDocument/2006/relationships/hyperlink" Target="https://anmsm.media.tourinsoft.eu/upload/aussois-ge-une-ural-2016e.pdf" TargetMode="External"/><Relationship Id="rId119" Type="http://schemas.openxmlformats.org/officeDocument/2006/relationships/hyperlink" Target="https://www.france-montagnes.com/sit/le-granier-29138/" TargetMode="External"/><Relationship Id="rId270" Type="http://schemas.openxmlformats.org/officeDocument/2006/relationships/hyperlink" Target="https://www.france-montagnes.com/sit/audibergue-28883/" TargetMode="External"/><Relationship Id="rId326" Type="http://schemas.openxmlformats.org/officeDocument/2006/relationships/hyperlink" Target="https://anmsm.media.tourinsoft.eu/upload/Plan-des-pistes-2023-2024.pdf" TargetMode="External"/><Relationship Id="rId65" Type="http://schemas.openxmlformats.org/officeDocument/2006/relationships/hyperlink" Target="https://reservation.courchevel.com/?lang=fr_FR" TargetMode="External"/><Relationship Id="rId130" Type="http://schemas.openxmlformats.org/officeDocument/2006/relationships/hyperlink" Target="https://www.france-montagnes.com/sit/les-7-laux-statanmsm01380020/" TargetMode="External"/><Relationship Id="rId368" Type="http://schemas.openxmlformats.org/officeDocument/2006/relationships/hyperlink" Target="https://www.sancy.com/hebergement/" TargetMode="External"/><Relationship Id="rId172" Type="http://schemas.openxmlformats.org/officeDocument/2006/relationships/hyperlink" Target="https://reservations.meribel.net/?lang=fr_FR" TargetMode="External"/><Relationship Id="rId228" Type="http://schemas.openxmlformats.org/officeDocument/2006/relationships/hyperlink" Target="https://anmsm.media.tourinsoft.eu/upload/plan-thollon.jpg" TargetMode="External"/><Relationship Id="rId435" Type="http://schemas.openxmlformats.org/officeDocument/2006/relationships/hyperlink" Target="https://www.gerardmer-reservation.net/" TargetMode="External"/><Relationship Id="rId281" Type="http://schemas.openxmlformats.org/officeDocument/2006/relationships/hyperlink" Target="https://isola2000.com/reservez-votre-sejour/" TargetMode="External"/><Relationship Id="rId337" Type="http://schemas.openxmlformats.org/officeDocument/2006/relationships/hyperlink" Target="https://reservation.serre-chevalier.com/" TargetMode="External"/><Relationship Id="rId34" Type="http://schemas.openxmlformats.org/officeDocument/2006/relationships/hyperlink" Target="https://reservation.haute-maurienne-vanoise.com/ac64-bonneval-sur-arc.htm" TargetMode="External"/><Relationship Id="rId76" Type="http://schemas.openxmlformats.org/officeDocument/2006/relationships/hyperlink" Target="https://www.france-montagnes.com/sit/habere-poche-29258/" TargetMode="External"/><Relationship Id="rId141" Type="http://schemas.openxmlformats.org/officeDocument/2006/relationships/hyperlink" Target="https://www.france-montagnes.com/sit/les-gets-28559/" TargetMode="External"/><Relationship Id="rId379" Type="http://schemas.openxmlformats.org/officeDocument/2006/relationships/hyperlink" Target="https://www.sancy.com/hebergement/" TargetMode="External"/><Relationship Id="rId7" Type="http://schemas.openxmlformats.org/officeDocument/2006/relationships/hyperlink" Target="https://reservation.alpedhuez.com/?user-facet=winter" TargetMode="External"/><Relationship Id="rId183" Type="http://schemas.openxmlformats.org/officeDocument/2006/relationships/hyperlink" Target="https://www.france-montagnes.com/sit/passy-plaine-joux-29201/" TargetMode="External"/><Relationship Id="rId239" Type="http://schemas.openxmlformats.org/officeDocument/2006/relationships/hyperlink" Target="https://reservation.valdisere.com/" TargetMode="External"/><Relationship Id="rId390" Type="http://schemas.openxmlformats.org/officeDocument/2006/relationships/hyperlink" Target="https://www.france-montagnes.com/sit/ax-3-domaines-statanmsm01090002/" TargetMode="External"/><Relationship Id="rId404" Type="http://schemas.openxmlformats.org/officeDocument/2006/relationships/hyperlink" Target="https://anmsm.media.tourinsoft.eu/upload/plan-pistes-grand-tourmalet-2023-2024.pdf" TargetMode="External"/><Relationship Id="rId446" Type="http://schemas.openxmlformats.org/officeDocument/2006/relationships/hyperlink" Target="https://www.france-montagnes.com/sit/le-lac-blanc-statanmsm01680002/" TargetMode="External"/><Relationship Id="rId250" Type="http://schemas.openxmlformats.org/officeDocument/2006/relationships/hyperlink" Target="https://booking.chamonix.com/fr" TargetMode="External"/><Relationship Id="rId292" Type="http://schemas.openxmlformats.org/officeDocument/2006/relationships/hyperlink" Target="https://anmsm.media.tourinsoft.eu/upload/Plan-des-pistes-alpin-nordique-H25-26-compressed.pdf" TargetMode="External"/><Relationship Id="rId306" Type="http://schemas.openxmlformats.org/officeDocument/2006/relationships/hyperlink" Target="https://www.montclar.com/" TargetMode="External"/><Relationship Id="rId45" Type="http://schemas.openxmlformats.org/officeDocument/2006/relationships/hyperlink" Target="https://anmsm.media.tourinsoft.eu/upload/PlanPistesParadiski.pdf" TargetMode="External"/><Relationship Id="rId87" Type="http://schemas.openxmlformats.org/officeDocument/2006/relationships/hyperlink" Target="https://www.france-montagnes.com/sit/la-motte-daveillans-28961/" TargetMode="External"/><Relationship Id="rId110" Type="http://schemas.openxmlformats.org/officeDocument/2006/relationships/hyperlink" Target="https://reservation.lecollet.com/" TargetMode="External"/><Relationship Id="rId348" Type="http://schemas.openxmlformats.org/officeDocument/2006/relationships/hyperlink" Target="https://www.valberg.com/sejourner/reserver-votre-sejour/" TargetMode="External"/><Relationship Id="rId152" Type="http://schemas.openxmlformats.org/officeDocument/2006/relationships/hyperlink" Target="https://anmsm.media.tourinsoft.eu/upload/plan-espace-diamant-18-19.pdf" TargetMode="External"/><Relationship Id="rId194" Type="http://schemas.openxmlformats.org/officeDocument/2006/relationships/hyperlink" Target="https://www.reservationpralognan.fr/" TargetMode="External"/><Relationship Id="rId208" Type="http://schemas.openxmlformats.org/officeDocument/2006/relationships/hyperlink" Target="https://www.france-montagnes.com/sit/saint-martin-de-belleville-statanmsm01730042/" TargetMode="External"/><Relationship Id="rId415" Type="http://schemas.openxmlformats.org/officeDocument/2006/relationships/hyperlink" Target="https://www.france-montagnes.com/sit/les-monts-dolmes-28928/" TargetMode="External"/><Relationship Id="rId457" Type="http://schemas.openxmlformats.org/officeDocument/2006/relationships/hyperlink" Target="https://www.france-montagnes.com/sit/la-planche-des-belles-filles-29853/" TargetMode="External"/><Relationship Id="rId261" Type="http://schemas.openxmlformats.org/officeDocument/2006/relationships/hyperlink" Target="https://www.villarddelans-correnconenvercors.com/" TargetMode="External"/><Relationship Id="rId14" Type="http://schemas.openxmlformats.org/officeDocument/2006/relationships/hyperlink" Target="https://www.lesarcs.com/" TargetMode="External"/><Relationship Id="rId56" Type="http://schemas.openxmlformats.org/officeDocument/2006/relationships/hyperlink" Target="https://www.france-montagnes.com/sit/col-du-rousset-28982/" TargetMode="External"/><Relationship Id="rId317" Type="http://schemas.openxmlformats.org/officeDocument/2006/relationships/hyperlink" Target="https://www.valdallos.com/" TargetMode="External"/><Relationship Id="rId359" Type="http://schemas.openxmlformats.org/officeDocument/2006/relationships/hyperlink" Target="https://www.france-montagnes.com/sit/le-larmont-28943/" TargetMode="External"/><Relationship Id="rId98" Type="http://schemas.openxmlformats.org/officeDocument/2006/relationships/hyperlink" Target="https://www.france-montagnes.com/sit/la-rosiere-statanmsm01730017/" TargetMode="External"/><Relationship Id="rId121" Type="http://schemas.openxmlformats.org/officeDocument/2006/relationships/hyperlink" Target="https://www.les7laux.com/hiver/" TargetMode="External"/><Relationship Id="rId163" Type="http://schemas.openxmlformats.org/officeDocument/2006/relationships/hyperlink" Target="https://www.laplagneresort.com/" TargetMode="External"/><Relationship Id="rId219" Type="http://schemas.openxmlformats.org/officeDocument/2006/relationships/hyperlink" Target="https://anmsm.media.tourinsoft.eu/upload/PLAN-DES-PISTES-SAINTE-FOY-TARENTAISE-HIVER-2022-2023.pdf" TargetMode="External"/><Relationship Id="rId370" Type="http://schemas.openxmlformats.org/officeDocument/2006/relationships/hyperlink" Target="https://www.france-montagnes.com/sit/besse-super-besse-statanmsm01630000/" TargetMode="External"/><Relationship Id="rId426" Type="http://schemas.openxmlformats.org/officeDocument/2006/relationships/hyperlink" Target="https://anmsm.media.tourinsoft.eu/upload/PlanPistes-2023-hd.jpg" TargetMode="External"/><Relationship Id="rId230" Type="http://schemas.openxmlformats.org/officeDocument/2006/relationships/hyperlink" Target="https://reservation.tignes.net/" TargetMode="External"/><Relationship Id="rId25" Type="http://schemas.openxmlformats.org/officeDocument/2006/relationships/hyperlink" Target="https://www.france-montagnes.com/sit/autrans-meaudres-en-vercors-28439/" TargetMode="External"/><Relationship Id="rId67" Type="http://schemas.openxmlformats.org/officeDocument/2006/relationships/hyperlink" Target="https://www.valdarly-montblanc.com/villages-stations/crest-voland-cohennoz/" TargetMode="External"/><Relationship Id="rId272" Type="http://schemas.openxmlformats.org/officeDocument/2006/relationships/hyperlink" Target="https://anmsm.media.tourinsoft.eu/upload/AURON-Plans-des-PIstes-2025-2026--1-.pdf" TargetMode="External"/><Relationship Id="rId328" Type="http://schemas.openxmlformats.org/officeDocument/2006/relationships/hyperlink" Target="https://www.france-montagnes.com/sit/roubion-les-buisses-28880/" TargetMode="External"/><Relationship Id="rId132" Type="http://schemas.openxmlformats.org/officeDocument/2006/relationships/hyperlink" Target="https://www.france-montagnes.com/sit/les-arcs-bourg-st-maurice-statanmsm01730028/" TargetMode="External"/><Relationship Id="rId174" Type="http://schemas.openxmlformats.org/officeDocument/2006/relationships/hyperlink" Target="https://www.valdarly-montblanc.com/villages-stations/notre-dame-de-bellecombe/" TargetMode="External"/><Relationship Id="rId381" Type="http://schemas.openxmlformats.org/officeDocument/2006/relationships/hyperlink" Target="https://www.france-montagnes.com/sit/le-mont-dore-statanmsm01630008/" TargetMode="External"/><Relationship Id="rId241" Type="http://schemas.openxmlformats.org/officeDocument/2006/relationships/hyperlink" Target="https://www.france-montagnes.com/sit/val-disere-statanmsm01730051/" TargetMode="External"/><Relationship Id="rId437" Type="http://schemas.openxmlformats.org/officeDocument/2006/relationships/hyperlink" Target="https://www.france-montagnes.com/sit/la-bresse-brabant-28907/" TargetMode="External"/><Relationship Id="rId36" Type="http://schemas.openxmlformats.org/officeDocument/2006/relationships/hyperlink" Target="https://www.france-montagnes.com/sit/bonneval-sur-arc-statanmsm01730005/" TargetMode="External"/><Relationship Id="rId283" Type="http://schemas.openxmlformats.org/officeDocument/2006/relationships/hyperlink" Target="https://www.france-montagnes.com/sit/isola-2000-statanmsm01060010/" TargetMode="External"/><Relationship Id="rId339" Type="http://schemas.openxmlformats.org/officeDocument/2006/relationships/hyperlink" Target="https://reservation.serre-chevalier.com/" TargetMode="External"/><Relationship Id="rId78" Type="http://schemas.openxmlformats.org/officeDocument/2006/relationships/hyperlink" Target="https://www.france-montagnes.com/sit/hauteluce-val-joly-29162/" TargetMode="External"/><Relationship Id="rId101" Type="http://schemas.openxmlformats.org/officeDocument/2006/relationships/hyperlink" Target="https://www.france-montagnes.com/sit/la-toussuire-statanmsm2v502nlx/" TargetMode="External"/><Relationship Id="rId143" Type="http://schemas.openxmlformats.org/officeDocument/2006/relationships/hyperlink" Target="https://anmsm.media.tourinsoft.eu/upload/Plan-Hiver-HCH-2.pdf" TargetMode="External"/><Relationship Id="rId185" Type="http://schemas.openxmlformats.org/officeDocument/2006/relationships/hyperlink" Target="https://anmsm.media.tourinsoft.eu/upload/Paradiski-2024-2025-V8-2-LES-ARCS-BD.pdf" TargetMode="External"/><Relationship Id="rId350" Type="http://schemas.openxmlformats.org/officeDocument/2006/relationships/hyperlink" Target="https://www.france-montagnes.com/sit/valberg-statanmsm01060023/" TargetMode="External"/><Relationship Id="rId406" Type="http://schemas.openxmlformats.org/officeDocument/2006/relationships/hyperlink" Target="https://www.france-montagnes.com/sit/guzet-28496/" TargetMode="External"/><Relationship Id="rId9" Type="http://schemas.openxmlformats.org/officeDocument/2006/relationships/hyperlink" Target="https://www.france-montagnes.com/sit/alpe-dhuez-statanmsm01380001/" TargetMode="External"/><Relationship Id="rId210" Type="http://schemas.openxmlformats.org/officeDocument/2006/relationships/hyperlink" Target="https://anmsm.media.tourinsoft.eu/upload/Plan-des-pistes-SYBELLES-24-25-3.png" TargetMode="External"/><Relationship Id="rId392" Type="http://schemas.openxmlformats.org/officeDocument/2006/relationships/hyperlink" Target="https://pyrenees2000.com/les-hebergements/" TargetMode="External"/><Relationship Id="rId448" Type="http://schemas.openxmlformats.org/officeDocument/2006/relationships/hyperlink" Target="https://www.france-montagnes.com/sit/le-schlumpf-29090/" TargetMode="External"/><Relationship Id="rId252" Type="http://schemas.openxmlformats.org/officeDocument/2006/relationships/hyperlink" Target="https://www.valmeinier-reservation.com/hiver" TargetMode="External"/><Relationship Id="rId294" Type="http://schemas.openxmlformats.org/officeDocument/2006/relationships/hyperlink" Target="https://www.france-montagnes.com/sit/le-queyras-28847/" TargetMode="External"/><Relationship Id="rId308" Type="http://schemas.openxmlformats.org/officeDocument/2006/relationships/hyperlink" Target="https://www.france-montagnes.com/sit/montclar-statanmsm01040020/" TargetMode="External"/><Relationship Id="rId47" Type="http://schemas.openxmlformats.org/officeDocument/2006/relationships/hyperlink" Target="https://www.chamrousse.com/hiver" TargetMode="External"/><Relationship Id="rId89" Type="http://schemas.openxmlformats.org/officeDocument/2006/relationships/hyperlink" Target="https://anmsm.media.tourinsoft.eu/upload/Plan-pistes-la-Norma-2025-26.jpg" TargetMode="External"/><Relationship Id="rId112" Type="http://schemas.openxmlformats.org/officeDocument/2006/relationships/hyperlink" Target="https://www.le-corbier.com/" TargetMode="External"/><Relationship Id="rId154" Type="http://schemas.openxmlformats.org/officeDocument/2006/relationships/hyperlink" Target="https://www.france-montagnes.com/sit/lullin-29243/" TargetMode="External"/><Relationship Id="rId361" Type="http://schemas.openxmlformats.org/officeDocument/2006/relationships/hyperlink" Target="https://www.france-montagnes.com/sit/les-rousses-28757/" TargetMode="External"/><Relationship Id="rId196" Type="http://schemas.openxmlformats.org/officeDocument/2006/relationships/hyperlink" Target="https://www.france-montagnes.com/sit/pralognan-la-vanoise-statanmsm01730038/" TargetMode="External"/><Relationship Id="rId417" Type="http://schemas.openxmlformats.org/officeDocument/2006/relationships/hyperlink" Target="https://www.france-montagnes.com/sit/mijanes-donezan-28916/" TargetMode="External"/><Relationship Id="rId16" Type="http://schemas.openxmlformats.org/officeDocument/2006/relationships/hyperlink" Target="https://www.lesarcs.com/" TargetMode="External"/><Relationship Id="rId221" Type="http://schemas.openxmlformats.org/officeDocument/2006/relationships/hyperlink" Target="https://www.saintefoy-reservation.com/fr/" TargetMode="External"/><Relationship Id="rId263" Type="http://schemas.openxmlformats.org/officeDocument/2006/relationships/hyperlink" Target="https://www.france-montagnes.com/sit/villard-de-lans-correncon-statanmsm01380036/" TargetMode="External"/><Relationship Id="rId319" Type="http://schemas.openxmlformats.org/officeDocument/2006/relationships/hyperlink" Target="https://www.france-montagnes.com/sit/praloup-28628/" TargetMode="External"/><Relationship Id="rId58" Type="http://schemas.openxmlformats.org/officeDocument/2006/relationships/hyperlink" Target="https://anmsm.media.tourinsoft.eu/upload/plan-piste-portes-mont-blanc-web.pdf" TargetMode="External"/><Relationship Id="rId123" Type="http://schemas.openxmlformats.org/officeDocument/2006/relationships/hyperlink" Target="https://www.france-montagnes.com/sit/le-semnoz-29240/" TargetMode="External"/><Relationship Id="rId330" Type="http://schemas.openxmlformats.org/officeDocument/2006/relationships/hyperlink" Target="https://www.france-montagnes.com/sit/saint-michel-de-chaillol-28790/" TargetMode="External"/><Relationship Id="rId165" Type="http://schemas.openxmlformats.org/officeDocument/2006/relationships/hyperlink" Target="https://www.france-montagnes.com/sit/montchavin-la-plagne-statanmsm01730034/" TargetMode="External"/><Relationship Id="rId372" Type="http://schemas.openxmlformats.org/officeDocument/2006/relationships/hyperlink" Target="https://www.france-montagnes.com/sit/croix-de-bauzon-29288/" TargetMode="External"/><Relationship Id="rId428" Type="http://schemas.openxmlformats.org/officeDocument/2006/relationships/hyperlink" Target="https://resa.saintlary.com/" TargetMode="External"/><Relationship Id="rId232" Type="http://schemas.openxmlformats.org/officeDocument/2006/relationships/hyperlink" Target="https://reservation.tignes.net/" TargetMode="External"/><Relationship Id="rId274" Type="http://schemas.openxmlformats.org/officeDocument/2006/relationships/hyperlink" Target="https://www.france-montagnes.com/sit/ceillac-en-queyras-28826/" TargetMode="External"/><Relationship Id="rId27" Type="http://schemas.openxmlformats.org/officeDocument/2006/relationships/hyperlink" Target="https://www.france-montagnes.com/sit/avoriaz-1800-28442/" TargetMode="External"/><Relationship Id="rId69" Type="http://schemas.openxmlformats.org/officeDocument/2006/relationships/hyperlink" Target="https://www.france-montagnes.com/sit/crest-voland-cohennoz-statanmsm01730070/" TargetMode="External"/><Relationship Id="rId134" Type="http://schemas.openxmlformats.org/officeDocument/2006/relationships/hyperlink" Target="https://www.france-montagnes.com/sit/les-brasses-29183/" TargetMode="External"/><Relationship Id="rId80" Type="http://schemas.openxmlformats.org/officeDocument/2006/relationships/hyperlink" Target="https://www.laclusaz.com/" TargetMode="External"/><Relationship Id="rId176" Type="http://schemas.openxmlformats.org/officeDocument/2006/relationships/hyperlink" Target="https://www.france-montagnes.com/sit/notre-dame-de-bellecombe-statanmsm01730036/" TargetMode="External"/><Relationship Id="rId341" Type="http://schemas.openxmlformats.org/officeDocument/2006/relationships/hyperlink" Target="https://anmsm.media.tourinsoft.eu/upload/plan-des-pistes-serre-eyraud-2015.jpg" TargetMode="External"/><Relationship Id="rId383" Type="http://schemas.openxmlformats.org/officeDocument/2006/relationships/hyperlink" Target="https://www.france-montagnes.com/sit/les-monts-du-pilat-53014/" TargetMode="External"/><Relationship Id="rId439" Type="http://schemas.openxmlformats.org/officeDocument/2006/relationships/hyperlink" Target="https://anmsm.media.tourinsoft.eu/upload/LBM-LBH-Planpistes-2025-26-compressed.pdf" TargetMode="External"/><Relationship Id="rId201" Type="http://schemas.openxmlformats.org/officeDocument/2006/relationships/hyperlink" Target="https://www.france-montagnes.com/sit/saint-colomban-des-villards-statanmsm2v500q7p/" TargetMode="External"/><Relationship Id="rId243" Type="http://schemas.openxmlformats.org/officeDocument/2006/relationships/hyperlink" Target="https://anmsm.media.tourinsoft.eu/upload/Plan-3-Vallees-avec-legende-BD.pdf" TargetMode="External"/><Relationship Id="rId285" Type="http://schemas.openxmlformats.org/officeDocument/2006/relationships/hyperlink" Target="https://anmsm.media.tourinsoft.eu/upload/Pistes-LaColmiane-120x70cm--1-1.jpg" TargetMode="External"/><Relationship Id="rId450" Type="http://schemas.openxmlformats.org/officeDocument/2006/relationships/hyperlink" Target="https://www.ballons-hautes-vosges.com/" TargetMode="External"/><Relationship Id="rId38" Type="http://schemas.openxmlformats.org/officeDocument/2006/relationships/hyperlink" Target="https://anmsm.media.tourinsoft.eu/upload/730007-09.jpg" TargetMode="External"/><Relationship Id="rId103" Type="http://schemas.openxmlformats.org/officeDocument/2006/relationships/hyperlink" Target="https://www.france-montagnes.com/sit/lans-en-vercors-statanmsm2v502nr8/" TargetMode="External"/><Relationship Id="rId310" Type="http://schemas.openxmlformats.org/officeDocument/2006/relationships/hyperlink" Target="https://anmsm.media.tourinsoft.eu/upload/050018-09.jpg" TargetMode="External"/><Relationship Id="rId91" Type="http://schemas.openxmlformats.org/officeDocument/2006/relationships/hyperlink" Target="https://www.laplagneresort.com/" TargetMode="External"/><Relationship Id="rId145" Type="http://schemas.openxmlformats.org/officeDocument/2006/relationships/hyperlink" Target="https://www.karellis-reservation.com/" TargetMode="External"/><Relationship Id="rId187" Type="http://schemas.openxmlformats.org/officeDocument/2006/relationships/hyperlink" Target="https://www.les7laux.com/hiver/" TargetMode="External"/><Relationship Id="rId352" Type="http://schemas.openxmlformats.org/officeDocument/2006/relationships/hyperlink" Target="https://anmsm.media.tourinsoft.eu/upload/24-25-Vars-Risoul-hiver-BD.pdf" TargetMode="External"/><Relationship Id="rId394" Type="http://schemas.openxmlformats.org/officeDocument/2006/relationships/hyperlink" Target="https://www.france-montagnes.com/sit/camurac-29066/" TargetMode="External"/><Relationship Id="rId408" Type="http://schemas.openxmlformats.org/officeDocument/2006/relationships/hyperlink" Target="https://www.france-montagnes.com/sit/le-cambre-daze-29063/" TargetMode="External"/><Relationship Id="rId212" Type="http://schemas.openxmlformats.org/officeDocument/2006/relationships/hyperlink" Target="https://www.france-montagnes.com/sit/saint-gervais-mont-blanc-28646/" TargetMode="External"/><Relationship Id="rId254" Type="http://schemas.openxmlformats.org/officeDocument/2006/relationships/hyperlink" Target="https://www.france-montagnes.com/sit/valmeinier-statanmsm01730055/" TargetMode="External"/><Relationship Id="rId49" Type="http://schemas.openxmlformats.org/officeDocument/2006/relationships/hyperlink" Target="https://www.france-montagnes.com/sit/chamrousse-statanmsm01380005/" TargetMode="External"/><Relationship Id="rId114" Type="http://schemas.openxmlformats.org/officeDocument/2006/relationships/hyperlink" Target="https://www.france-montagnes.com/sit/le-corbier-statanmsm01730021/" TargetMode="External"/><Relationship Id="rId296" Type="http://schemas.openxmlformats.org/officeDocument/2006/relationships/hyperlink" Target="https://www.alpes-sudlocations.com/reservation-sejour-vars/" TargetMode="External"/><Relationship Id="rId60" Type="http://schemas.openxmlformats.org/officeDocument/2006/relationships/hyperlink" Target="https://www.france-montagnes.com/sit/cordon-29267/" TargetMode="External"/><Relationship Id="rId156" Type="http://schemas.openxmlformats.org/officeDocument/2006/relationships/hyperlink" Target="https://www.france-montagnes.com/sit/manigod-col-de-merdassier-29246/" TargetMode="External"/><Relationship Id="rId198" Type="http://schemas.openxmlformats.org/officeDocument/2006/relationships/hyperlink" Target="https://www.france-montagnes.com/sit/praz-sur-arly-28634/" TargetMode="External"/><Relationship Id="rId321" Type="http://schemas.openxmlformats.org/officeDocument/2006/relationships/hyperlink" Target="https://anmsm.media.tourinsoft.eu/upload/PSV-PLAN-DES-PISTES-2023-LD--1-.pdf" TargetMode="External"/><Relationship Id="rId363" Type="http://schemas.openxmlformats.org/officeDocument/2006/relationships/hyperlink" Target="https://anmsm.media.tourinsoft.eu/upload/MONTS-JURA-General-hiver-2023-2024-V7-HD.pdf" TargetMode="External"/><Relationship Id="rId419" Type="http://schemas.openxmlformats.org/officeDocument/2006/relationships/hyperlink" Target="https://anmsm.media.tourinsoft.eu/upload/peyragudes-ALPIN-2025-2026-BD--1-.pdf" TargetMode="External"/><Relationship Id="rId223" Type="http://schemas.openxmlformats.org/officeDocument/2006/relationships/hyperlink" Target="https://reservation.lescarroz.com/" TargetMode="External"/><Relationship Id="rId430" Type="http://schemas.openxmlformats.org/officeDocument/2006/relationships/hyperlink" Target="https://www.france-montagnes.com/sit/val-louron-29054/" TargetMode="External"/><Relationship Id="rId18" Type="http://schemas.openxmlformats.org/officeDocument/2006/relationships/hyperlink" Target="https://anmsm.media.tourinsoft.eu/upload/Plan-des-pistes-23-24-BD.pdf" TargetMode="External"/><Relationship Id="rId265" Type="http://schemas.openxmlformats.org/officeDocument/2006/relationships/hyperlink" Target="https://hebergement.villaroger.fr/" TargetMode="External"/><Relationship Id="rId125" Type="http://schemas.openxmlformats.org/officeDocument/2006/relationships/hyperlink" Target="https://www.les2alpes.com/hiver/" TargetMode="External"/><Relationship Id="rId167" Type="http://schemas.openxmlformats.org/officeDocument/2006/relationships/hyperlink" Target="https://reservation.avoriaz.com/" TargetMode="External"/><Relationship Id="rId332" Type="http://schemas.openxmlformats.org/officeDocument/2006/relationships/hyperlink" Target="https://www.france-montagnes.com/sit/saint-leger-les-melezes-statanmsm2v50321i/" TargetMode="External"/><Relationship Id="rId374" Type="http://schemas.openxmlformats.org/officeDocument/2006/relationships/hyperlink" Target="https://www.france-montagnes.com/sit/la-bourboule-29009/" TargetMode="External"/><Relationship Id="rId71" Type="http://schemas.openxmlformats.org/officeDocument/2006/relationships/hyperlink" Target="https://www.france-montagnes.com/sit/flaine-28487/" TargetMode="External"/><Relationship Id="rId234" Type="http://schemas.openxmlformats.org/officeDocument/2006/relationships/hyperlink" Target="https://reservation.tignes.net/" TargetMode="External"/><Relationship Id="rId2" Type="http://schemas.openxmlformats.org/officeDocument/2006/relationships/hyperlink" Target="https://www.france-montagnes.com/sit/aillons-margeriaz-28418/" TargetMode="External"/><Relationship Id="rId29" Type="http://schemas.openxmlformats.org/officeDocument/2006/relationships/hyperlink" Target="https://www.bernexstation.fr/fr/" TargetMode="External"/><Relationship Id="rId255" Type="http://schemas.openxmlformats.org/officeDocument/2006/relationships/hyperlink" Target="https://www.valmorel.com/" TargetMode="External"/><Relationship Id="rId276" Type="http://schemas.openxmlformats.org/officeDocument/2006/relationships/hyperlink" Target="https://anmsm.media.tourinsoft.eu/upload/Plan-des-pistes-2019-jpg.jpg" TargetMode="External"/><Relationship Id="rId297" Type="http://schemas.openxmlformats.org/officeDocument/2006/relationships/hyperlink" Target="https://reservation.lesorres.com/" TargetMode="External"/><Relationship Id="rId441" Type="http://schemas.openxmlformats.org/officeDocument/2006/relationships/hyperlink" Target="https://www.france-montagnes.com/sit/la-schlucht-28868/" TargetMode="External"/><Relationship Id="rId40" Type="http://schemas.openxmlformats.org/officeDocument/2006/relationships/hyperlink" Target="https://booking.chamonix.com/fr/" TargetMode="External"/><Relationship Id="rId115" Type="http://schemas.openxmlformats.org/officeDocument/2006/relationships/hyperlink" Target="https://reservation.valdisere.com/" TargetMode="External"/><Relationship Id="rId136" Type="http://schemas.openxmlformats.org/officeDocument/2006/relationships/hyperlink" Target="https://www.france-montagnes.com/sit/les-carroz-daraches-28553/" TargetMode="External"/><Relationship Id="rId157" Type="http://schemas.openxmlformats.org/officeDocument/2006/relationships/hyperlink" Target="https://www.france-montagnes.com/sit/megevette-29252/" TargetMode="External"/><Relationship Id="rId178" Type="http://schemas.openxmlformats.org/officeDocument/2006/relationships/hyperlink" Target="https://reservation.orelle.net/" TargetMode="External"/><Relationship Id="rId301" Type="http://schemas.openxmlformats.org/officeDocument/2006/relationships/hyperlink" Target="https://reservation.lesorres.com/" TargetMode="External"/><Relationship Id="rId322" Type="http://schemas.openxmlformats.org/officeDocument/2006/relationships/hyperlink" Target="https://www.france-montagnes.com/sit/puy-saint-vincent-statanmsm01050022/" TargetMode="External"/><Relationship Id="rId343" Type="http://schemas.openxmlformats.org/officeDocument/2006/relationships/hyperlink" Target="https://www.france-montagnes.com/sit/seyne-les-alpes-28793/" TargetMode="External"/><Relationship Id="rId364" Type="http://schemas.openxmlformats.org/officeDocument/2006/relationships/hyperlink" Target="https://www.france-montagnes.com/sit/monts-jura-statanmsm01010012/" TargetMode="External"/><Relationship Id="rId61" Type="http://schemas.openxmlformats.org/officeDocument/2006/relationships/hyperlink" Target="https://reservation.courchevel.com/?lang=fr_FR" TargetMode="External"/><Relationship Id="rId82" Type="http://schemas.openxmlformats.org/officeDocument/2006/relationships/hyperlink" Target="https://www.france-montagnes.com/sit/la-clusaz-statanmsm01740014/" TargetMode="External"/><Relationship Id="rId199" Type="http://schemas.openxmlformats.org/officeDocument/2006/relationships/hyperlink" Target="https://reservation.valthorens.com/" TargetMode="External"/><Relationship Id="rId203" Type="http://schemas.openxmlformats.org/officeDocument/2006/relationships/hyperlink" Target="https://anmsm.media.tourinsoft.eu/upload/SFL-PanoramaJuillet2020-sanslegendes.pdf" TargetMode="External"/><Relationship Id="rId385" Type="http://schemas.openxmlformats.org/officeDocument/2006/relationships/hyperlink" Target="https://www.france-montagnes.com/sit/saint-antheme-praboure-29015/" TargetMode="External"/><Relationship Id="rId19" Type="http://schemas.openxmlformats.org/officeDocument/2006/relationships/hyperlink" Target="https://www.france-montagnes.com/sit/areches-beaufort-statanmsm01730002/" TargetMode="External"/><Relationship Id="rId224" Type="http://schemas.openxmlformats.org/officeDocument/2006/relationships/hyperlink" Target="https://www.france-montagnes.com/sit/savoie-grand-revard-29141/" TargetMode="External"/><Relationship Id="rId245" Type="http://schemas.openxmlformats.org/officeDocument/2006/relationships/hyperlink" Target="https://www.valfrejus.com/" TargetMode="External"/><Relationship Id="rId266" Type="http://schemas.openxmlformats.org/officeDocument/2006/relationships/hyperlink" Target="https://www.france-montagnes.com/sit/villaroger-570525/" TargetMode="External"/><Relationship Id="rId287" Type="http://schemas.openxmlformats.org/officeDocument/2006/relationships/hyperlink" Target="https://www.valdallos.com/" TargetMode="External"/><Relationship Id="rId410" Type="http://schemas.openxmlformats.org/officeDocument/2006/relationships/hyperlink" Target="https://www.france-montagnes.com/sit/le-mourtis-29312/" TargetMode="External"/><Relationship Id="rId431" Type="http://schemas.openxmlformats.org/officeDocument/2006/relationships/hyperlink" Target="https://www.france-montagnes.com/sit/val-dazun-29039/" TargetMode="External"/><Relationship Id="rId452" Type="http://schemas.openxmlformats.org/officeDocument/2006/relationships/hyperlink" Target="https://www.france-montagnes.com/sit/saint-maurice-sur-moselle-statanmsm01880008/" TargetMode="External"/><Relationship Id="rId30" Type="http://schemas.openxmlformats.org/officeDocument/2006/relationships/hyperlink" Target="https://anmsm.media.tourinsoft.eu/upload/Plan-pistes-Bernex-H-19-20internet2.pdf" TargetMode="External"/><Relationship Id="rId105" Type="http://schemas.openxmlformats.org/officeDocument/2006/relationships/hyperlink" Target="https://reservation.haute-maurienne-vanoise.com/ac57-val-cenis.htm" TargetMode="External"/><Relationship Id="rId126" Type="http://schemas.openxmlformats.org/officeDocument/2006/relationships/hyperlink" Target="https://anmsm.media.tourinsoft.eu/upload/2026-Plan-Hiver-Vo-BD.jpg" TargetMode="External"/><Relationship Id="rId147" Type="http://schemas.openxmlformats.org/officeDocument/2006/relationships/hyperlink" Target="https://www.france-montagnes.com/sit/les-karellis-statanmsm01730029/" TargetMode="External"/><Relationship Id="rId168" Type="http://schemas.openxmlformats.org/officeDocument/2006/relationships/hyperlink" Target="https://www.france-montagnes.com/sit/montriond-29186/" TargetMode="External"/><Relationship Id="rId312" Type="http://schemas.openxmlformats.org/officeDocument/2006/relationships/hyperlink" Target="https://www.france-montagnes.com/sit/nevache-28805/" TargetMode="External"/><Relationship Id="rId333" Type="http://schemas.openxmlformats.org/officeDocument/2006/relationships/hyperlink" Target="https://www.france-montagnes.com/sit/sauze-supersauze-28673/" TargetMode="External"/><Relationship Id="rId354" Type="http://schemas.openxmlformats.org/officeDocument/2006/relationships/hyperlink" Target="https://www.alpes-sudlocations.com/reservation-sejour-vars/" TargetMode="External"/><Relationship Id="rId51" Type="http://schemas.openxmlformats.org/officeDocument/2006/relationships/hyperlink" Target="https://www.chamrousse.com/hiver" TargetMode="External"/><Relationship Id="rId72" Type="http://schemas.openxmlformats.org/officeDocument/2006/relationships/hyperlink" Target="https://www.valdarly-montblanc.com/villages-stations/flumet-st-nicolas-la-chapelle/" TargetMode="External"/><Relationship Id="rId93" Type="http://schemas.openxmlformats.org/officeDocument/2006/relationships/hyperlink" Target="https://www.france-montagnes.com/sit/la-plagne-statanmsm01730016/" TargetMode="External"/><Relationship Id="rId189" Type="http://schemas.openxmlformats.org/officeDocument/2006/relationships/hyperlink" Target="https://www.laplagneresort.com/" TargetMode="External"/><Relationship Id="rId375" Type="http://schemas.openxmlformats.org/officeDocument/2006/relationships/hyperlink" Target="https://www.france-montagnes.com/sit/la-loge-des-gardes-28760/" TargetMode="External"/><Relationship Id="rId396" Type="http://schemas.openxmlformats.org/officeDocument/2006/relationships/hyperlink" Target="https://font-romeu.fr/sejourner/" TargetMode="External"/><Relationship Id="rId3" Type="http://schemas.openxmlformats.org/officeDocument/2006/relationships/hyperlink" Target="https://www.laplagneresort.com/" TargetMode="External"/><Relationship Id="rId214" Type="http://schemas.openxmlformats.org/officeDocument/2006/relationships/hyperlink" Target="https://reservation.sja73.com/" TargetMode="External"/><Relationship Id="rId235" Type="http://schemas.openxmlformats.org/officeDocument/2006/relationships/hyperlink" Target="https://reservation.tignes.net/" TargetMode="External"/><Relationship Id="rId256" Type="http://schemas.openxmlformats.org/officeDocument/2006/relationships/hyperlink" Target="https://anmsm.media.tourinsoft.eu/upload/Carte-Valmorel-2024-HD.jpg" TargetMode="External"/><Relationship Id="rId277" Type="http://schemas.openxmlformats.org/officeDocument/2006/relationships/hyperlink" Target="https://www.france-montagnes.com/sit/chabanon-statanmsm2v500q59/" TargetMode="External"/><Relationship Id="rId298" Type="http://schemas.openxmlformats.org/officeDocument/2006/relationships/hyperlink" Target="https://anmsm.media.tourinsoft.eu/upload/PLAN-DES-PISTES-LES-ORRES-2023-24-02-BD-compressed--2-.pdf" TargetMode="External"/><Relationship Id="rId400" Type="http://schemas.openxmlformats.org/officeDocument/2006/relationships/hyperlink" Target="https://www.france-montagnes.com/sit/gavarnie-gedre-29057/" TargetMode="External"/><Relationship Id="rId421" Type="http://schemas.openxmlformats.org/officeDocument/2006/relationships/hyperlink" Target="https://www.france-montagnes.com/sit/piau-engaly-29030/" TargetMode="External"/><Relationship Id="rId442" Type="http://schemas.openxmlformats.org/officeDocument/2006/relationships/hyperlink" Target="https://www.france-montagnes.com/sit/le-ballon-dalsace-29282/" TargetMode="External"/><Relationship Id="rId116" Type="http://schemas.openxmlformats.org/officeDocument/2006/relationships/hyperlink" Target="https://www.legrandbornand.com/" TargetMode="External"/><Relationship Id="rId137" Type="http://schemas.openxmlformats.org/officeDocument/2006/relationships/hyperlink" Target="https://www.laplagneresort.com/" TargetMode="External"/><Relationship Id="rId158" Type="http://schemas.openxmlformats.org/officeDocument/2006/relationships/hyperlink" Target="https://www.france-montagnes.com/sit/megeve-28586/" TargetMode="External"/><Relationship Id="rId302" Type="http://schemas.openxmlformats.org/officeDocument/2006/relationships/hyperlink" Target="https://www.france-montagnes.com/sit/molines-saint-veran-en-queyras-28838/" TargetMode="External"/><Relationship Id="rId323" Type="http://schemas.openxmlformats.org/officeDocument/2006/relationships/hyperlink" Target="https://www.paysdesecrins.com/hebergements/" TargetMode="External"/><Relationship Id="rId344" Type="http://schemas.openxmlformats.org/officeDocument/2006/relationships/hyperlink" Target="https://reservation.ledevoluy.com/" TargetMode="External"/><Relationship Id="rId20" Type="http://schemas.openxmlformats.org/officeDocument/2006/relationships/hyperlink" Target="https://www.france-montagnes.com/sit/argentiere-570552/" TargetMode="External"/><Relationship Id="rId41" Type="http://schemas.openxmlformats.org/officeDocument/2006/relationships/hyperlink" Target="https://www.france-montagnes.com/sit/chamonix-mont-blanc-28466/" TargetMode="External"/><Relationship Id="rId62" Type="http://schemas.openxmlformats.org/officeDocument/2006/relationships/hyperlink" Target="https://anmsm.media.tourinsoft.eu/upload/Panorama-Courchevel-2015-2016-V8--BAT5-.pdf" TargetMode="External"/><Relationship Id="rId83" Type="http://schemas.openxmlformats.org/officeDocument/2006/relationships/hyperlink" Target="https://reservation.valdisere.com/" TargetMode="External"/><Relationship Id="rId179" Type="http://schemas.openxmlformats.org/officeDocument/2006/relationships/hyperlink" Target="https://www.france-montagnes.com/sit/orelle-29114/" TargetMode="External"/><Relationship Id="rId365" Type="http://schemas.openxmlformats.org/officeDocument/2006/relationships/hyperlink" Target="https://www.france-montagnes.com/sit/metabief-28592/" TargetMode="External"/><Relationship Id="rId386" Type="http://schemas.openxmlformats.org/officeDocument/2006/relationships/hyperlink" Target="https://www.france-montagnes.com/sit/artouste-29021/" TargetMode="External"/><Relationship Id="rId190" Type="http://schemas.openxmlformats.org/officeDocument/2006/relationships/hyperlink" Target="https://www.laplagneresort.com/" TargetMode="External"/><Relationship Id="rId204" Type="http://schemas.openxmlformats.org/officeDocument/2006/relationships/hyperlink" Target="https://www.france-montagnes.com/sit/saint-francois-longchamp-statanmsm01730040/" TargetMode="External"/><Relationship Id="rId225" Type="http://schemas.openxmlformats.org/officeDocument/2006/relationships/hyperlink" Target="https://www.france-montagnes.com/sit/sixt-29195/" TargetMode="External"/><Relationship Id="rId246" Type="http://schemas.openxmlformats.org/officeDocument/2006/relationships/hyperlink" Target="https://www.france-montagnes.com/sit/valfrejus-statanmsm01730053/" TargetMode="External"/><Relationship Id="rId267" Type="http://schemas.openxmlformats.org/officeDocument/2006/relationships/hyperlink" Target="https://www.france-montagnes.com/sit/abries-aiguilles-ristolas-28829/" TargetMode="External"/><Relationship Id="rId288" Type="http://schemas.openxmlformats.org/officeDocument/2006/relationships/hyperlink" Target="https://www.france-montagnes.com/sit/la-grave-28850/" TargetMode="External"/><Relationship Id="rId411" Type="http://schemas.openxmlformats.org/officeDocument/2006/relationships/hyperlink" Target="https://www.france-montagnes.com/sit/le-somport-candanchu-53002/" TargetMode="External"/><Relationship Id="rId432" Type="http://schemas.openxmlformats.org/officeDocument/2006/relationships/hyperlink" Target="https://www.valleedelabruche.fr/fr/" TargetMode="External"/><Relationship Id="rId453" Type="http://schemas.openxmlformats.org/officeDocument/2006/relationships/hyperlink" Target="https://www.france-montagnes.com/sit/schnepfenried-29111/" TargetMode="External"/><Relationship Id="rId106" Type="http://schemas.openxmlformats.org/officeDocument/2006/relationships/hyperlink" Target="https://www.france-montagnes.com/sit/le-barioz-alpin-29330/" TargetMode="External"/><Relationship Id="rId127" Type="http://schemas.openxmlformats.org/officeDocument/2006/relationships/hyperlink" Target="https://www.france-montagnes.com/sit/les-2-alpes-statanmsm01380019/" TargetMode="External"/><Relationship Id="rId313" Type="http://schemas.openxmlformats.org/officeDocument/2006/relationships/hyperlink" Target="https://reservation.orcieres.com/" TargetMode="External"/><Relationship Id="rId10" Type="http://schemas.openxmlformats.org/officeDocument/2006/relationships/hyperlink" Target="https://www.matheysine-tourisme.com/fr/alpedugrandserre/" TargetMode="External"/><Relationship Id="rId31" Type="http://schemas.openxmlformats.org/officeDocument/2006/relationships/hyperlink" Target="https://www.france-montagnes.com/sit/bernex-statanmsm01740063/" TargetMode="External"/><Relationship Id="rId52" Type="http://schemas.openxmlformats.org/officeDocument/2006/relationships/hyperlink" Target="https://www.france-montagnes.com/sit/chapelle-dabondance-29207/" TargetMode="External"/><Relationship Id="rId73" Type="http://schemas.openxmlformats.org/officeDocument/2006/relationships/hyperlink" Target="https://www.france-montagnes.com/sit/flumet-saint-nicolas-la-chapelle-statanmsm2v50090r/" TargetMode="External"/><Relationship Id="rId94" Type="http://schemas.openxmlformats.org/officeDocument/2006/relationships/hyperlink" Target="https://www.laplagneresort.com/" TargetMode="External"/><Relationship Id="rId148" Type="http://schemas.openxmlformats.org/officeDocument/2006/relationships/hyperlink" Target="https://fr.locationlesmenuires.com/" TargetMode="External"/><Relationship Id="rId169" Type="http://schemas.openxmlformats.org/officeDocument/2006/relationships/hyperlink" Target="https://www.france-montagnes.com/sit/morillon-570527/" TargetMode="External"/><Relationship Id="rId334" Type="http://schemas.openxmlformats.org/officeDocument/2006/relationships/hyperlink" Target="https://reservation.serre-chevalier.com/" TargetMode="External"/><Relationship Id="rId355" Type="http://schemas.openxmlformats.org/officeDocument/2006/relationships/hyperlink" Target="https://www.france-montagnes.com/sit/bellefontaine-28751/" TargetMode="External"/><Relationship Id="rId376" Type="http://schemas.openxmlformats.org/officeDocument/2006/relationships/hyperlink" Target="https://www.france-montagnes.com/sit/laguiole-28937/" TargetMode="External"/><Relationship Id="rId397" Type="http://schemas.openxmlformats.org/officeDocument/2006/relationships/hyperlink" Target="https://anmsm.media.tourinsoft.eu/upload/nouveau-plan-pistes-2015-2.jpg" TargetMode="External"/><Relationship Id="rId4" Type="http://schemas.openxmlformats.org/officeDocument/2006/relationships/hyperlink" Target="https://www.montagnicimes.com/albiez/" TargetMode="External"/><Relationship Id="rId180" Type="http://schemas.openxmlformats.org/officeDocument/2006/relationships/hyperlink" Target="https://www.oz-en-oisans.com/hiver/decouvrir/oz-en-oisans/" TargetMode="External"/><Relationship Id="rId215" Type="http://schemas.openxmlformats.org/officeDocument/2006/relationships/hyperlink" Target="https://www.france-montagnes.com/sit/saint-jean-darves-29123/" TargetMode="External"/><Relationship Id="rId236" Type="http://schemas.openxmlformats.org/officeDocument/2006/relationships/hyperlink" Target="https://reservation.haute-maurienne-vanoise.com/ac57-val-cenis.htm" TargetMode="External"/><Relationship Id="rId257" Type="http://schemas.openxmlformats.org/officeDocument/2006/relationships/hyperlink" Target="https://www.france-montagnes.com/sit/valmorel-statanmsm01730056/" TargetMode="External"/><Relationship Id="rId278" Type="http://schemas.openxmlformats.org/officeDocument/2006/relationships/hyperlink" Target="https://www.france-montagnes.com/sit/crevoux-28859/" TargetMode="External"/><Relationship Id="rId401" Type="http://schemas.openxmlformats.org/officeDocument/2006/relationships/hyperlink" Target="https://www.france-montagnes.com/sit/goulier-neige-28922/" TargetMode="External"/><Relationship Id="rId422" Type="http://schemas.openxmlformats.org/officeDocument/2006/relationships/hyperlink" Target="https://www.france-montagnes.com/sit/plateau-de-beille-28925/" TargetMode="External"/><Relationship Id="rId443" Type="http://schemas.openxmlformats.org/officeDocument/2006/relationships/hyperlink" Target="https://www.france-montagnes.com/sit/le-frenz-29108/" TargetMode="External"/><Relationship Id="rId303" Type="http://schemas.openxmlformats.org/officeDocument/2006/relationships/hyperlink" Target="https://reservation.ventouxprovence.fr/" TargetMode="External"/><Relationship Id="rId84" Type="http://schemas.openxmlformats.org/officeDocument/2006/relationships/hyperlink" Target="https://www.valdarly-montblanc.com/villages-stations/la-giettaz-en-aravis/" TargetMode="External"/><Relationship Id="rId138" Type="http://schemas.openxmlformats.org/officeDocument/2006/relationships/hyperlink" Target="https://www.lescontamines.net/" TargetMode="External"/><Relationship Id="rId345" Type="http://schemas.openxmlformats.org/officeDocument/2006/relationships/hyperlink" Target="https://www.valdallos.com/" TargetMode="External"/><Relationship Id="rId387" Type="http://schemas.openxmlformats.org/officeDocument/2006/relationships/hyperlink" Target="https://www.france-montagnes.com/sit/ascou-pailheres-570551/" TargetMode="External"/><Relationship Id="rId191" Type="http://schemas.openxmlformats.org/officeDocument/2006/relationships/hyperlink" Target="https://www.laplagneresort.com/" TargetMode="External"/><Relationship Id="rId205" Type="http://schemas.openxmlformats.org/officeDocument/2006/relationships/hyperlink" Target="https://www.france-montagnes.com/sit/saint-hugues-les-egaux-570523/" TargetMode="External"/><Relationship Id="rId247" Type="http://schemas.openxmlformats.org/officeDocument/2006/relationships/hyperlink" Target="https://www.valloire.com/" TargetMode="External"/><Relationship Id="rId412" Type="http://schemas.openxmlformats.org/officeDocument/2006/relationships/hyperlink" Target="https://lesangles.com/offres-hebergements/" TargetMode="External"/><Relationship Id="rId107" Type="http://schemas.openxmlformats.org/officeDocument/2006/relationships/hyperlink" Target="https://www.legrandbornand.com/" TargetMode="External"/><Relationship Id="rId289" Type="http://schemas.openxmlformats.org/officeDocument/2006/relationships/hyperlink" Target="https://reservation.ledevoluy.com/" TargetMode="External"/><Relationship Id="rId454" Type="http://schemas.openxmlformats.org/officeDocument/2006/relationships/hyperlink" Target="https://www.hautes-vosges.net/info-/-reservation.html" TargetMode="External"/><Relationship Id="rId11" Type="http://schemas.openxmlformats.org/officeDocument/2006/relationships/hyperlink" Target="https://anmsm.media.tourinsoft.eu/upload/380002-09.jpg" TargetMode="External"/><Relationship Id="rId53" Type="http://schemas.openxmlformats.org/officeDocument/2006/relationships/hyperlink" Target="https://www.france-montagnes.com/sit/chatel-28475/" TargetMode="External"/><Relationship Id="rId149" Type="http://schemas.openxmlformats.org/officeDocument/2006/relationships/hyperlink" Target="https://anmsm.media.tourinsoft.eu/upload/plan-pistes-Menuires-Saint-Martin-2.pdf" TargetMode="External"/><Relationship Id="rId314" Type="http://schemas.openxmlformats.org/officeDocument/2006/relationships/hyperlink" Target="https://anmsm.media.tourinsoft.eu/upload/SITE-WEB---Plan-des-pistes-HIVER-25-26.jpg" TargetMode="External"/><Relationship Id="rId356" Type="http://schemas.openxmlformats.org/officeDocument/2006/relationships/hyperlink" Target="https://www.france-montagnes.com/sit/chaux-de-gilley-52903/" TargetMode="External"/><Relationship Id="rId398" Type="http://schemas.openxmlformats.org/officeDocument/2006/relationships/hyperlink" Target="https://www.france-montagnes.com/sit/font-romeu-statanmsm01660011/" TargetMode="External"/><Relationship Id="rId95" Type="http://schemas.openxmlformats.org/officeDocument/2006/relationships/hyperlink" Target="https://www.france-montagnes.com/sit/la-plagne-montalbert-statanmsm2v502o0h/" TargetMode="External"/><Relationship Id="rId160" Type="http://schemas.openxmlformats.org/officeDocument/2006/relationships/hyperlink" Target="https://anmsm.media.tourinsoft.eu/upload/Plan-des-pistes-7.pdf" TargetMode="External"/><Relationship Id="rId216" Type="http://schemas.openxmlformats.org/officeDocument/2006/relationships/hyperlink" Target="https://www.france-montagnes.com/sit/saint-nicolas-de-veroce-29234/" TargetMode="External"/><Relationship Id="rId423" Type="http://schemas.openxmlformats.org/officeDocument/2006/relationships/hyperlink" Target="https://www.france-montagnes.com/sit/porte-puymorens-29069/" TargetMode="External"/><Relationship Id="rId258" Type="http://schemas.openxmlformats.org/officeDocument/2006/relationships/hyperlink" Target="https://www.vaujany.com/fr/ouverture-hiver/" TargetMode="External"/><Relationship Id="rId22" Type="http://schemas.openxmlformats.org/officeDocument/2006/relationships/hyperlink" Target="https://reservation.haute-maurienne-vanoise.com/ac62-aussois.htm" TargetMode="External"/><Relationship Id="rId64" Type="http://schemas.openxmlformats.org/officeDocument/2006/relationships/hyperlink" Target="https://reservation.courchevel.com/?lang=fr_FR" TargetMode="External"/><Relationship Id="rId118" Type="http://schemas.openxmlformats.org/officeDocument/2006/relationships/hyperlink" Target="https://www.france-montagnes.com/sit/le-grand-bornand-statanmsm01740015/" TargetMode="External"/><Relationship Id="rId325" Type="http://schemas.openxmlformats.org/officeDocument/2006/relationships/hyperlink" Target="https://www.risoul.com/reserver.html" TargetMode="External"/><Relationship Id="rId367" Type="http://schemas.openxmlformats.org/officeDocument/2006/relationships/hyperlink" Target="https://www.france-montagnes.com/sit/val-de-morteau-28949/" TargetMode="External"/><Relationship Id="rId171" Type="http://schemas.openxmlformats.org/officeDocument/2006/relationships/hyperlink" Target="https://reservations.meribel.net/?lang=fr_FR" TargetMode="External"/><Relationship Id="rId227" Type="http://schemas.openxmlformats.org/officeDocument/2006/relationships/hyperlink" Target="https://www.leman-mountains-explore.com/reserver/" TargetMode="External"/><Relationship Id="rId269" Type="http://schemas.openxmlformats.org/officeDocument/2006/relationships/hyperlink" Target="https://www.france-montagnes.com/sit/arvieux-28835/" TargetMode="External"/><Relationship Id="rId434" Type="http://schemas.openxmlformats.org/officeDocument/2006/relationships/hyperlink" Target="https://www.france-montagnes.com/sit/champ-du-feu-statanmsm2v500956/" TargetMode="External"/><Relationship Id="rId33" Type="http://schemas.openxmlformats.org/officeDocument/2006/relationships/hyperlink" Target="https://reservation.lessaisies.com/" TargetMode="External"/><Relationship Id="rId129" Type="http://schemas.openxmlformats.org/officeDocument/2006/relationships/hyperlink" Target="https://anmsm.media.tourinsoft.eu/upload/documentation-7L20PP-FR-7-.pdf" TargetMode="External"/><Relationship Id="rId280" Type="http://schemas.openxmlformats.org/officeDocument/2006/relationships/hyperlink" Target="https://www.france-montagnes.com/sit/greolieres-les-neiges-statanmsm2v500v0a/" TargetMode="External"/><Relationship Id="rId336" Type="http://schemas.openxmlformats.org/officeDocument/2006/relationships/hyperlink" Target="https://www.france-montagnes.com/sit/serre-chevalier-briancon-statanmsm01050027/" TargetMode="External"/><Relationship Id="rId75" Type="http://schemas.openxmlformats.org/officeDocument/2006/relationships/hyperlink" Target="https://www.france-montagnes.com/sit/gresse-en-vercors-28979/" TargetMode="External"/><Relationship Id="rId140" Type="http://schemas.openxmlformats.org/officeDocument/2006/relationships/hyperlink" Target="https://www.france-montagnes.com/sit/les-contamines-montjoie-statanmsm01740019/" TargetMode="External"/><Relationship Id="rId182" Type="http://schemas.openxmlformats.org/officeDocument/2006/relationships/hyperlink" Target="https://booking.passy-mont-blanc.com/" TargetMode="External"/><Relationship Id="rId378" Type="http://schemas.openxmlformats.org/officeDocument/2006/relationships/hyperlink" Target="https://www.france-montagnes.com/sit/le-lioran-28535/" TargetMode="External"/><Relationship Id="rId403" Type="http://schemas.openxmlformats.org/officeDocument/2006/relationships/hyperlink" Target="https://www.n-py.com/fr/ete/sejour-pyrenees/hebergement" TargetMode="External"/><Relationship Id="rId6" Type="http://schemas.openxmlformats.org/officeDocument/2006/relationships/hyperlink" Target="https://www.france-montagnes.com/sit/albiez-montrond-statanmsm2v500ql1/" TargetMode="External"/><Relationship Id="rId238" Type="http://schemas.openxmlformats.org/officeDocument/2006/relationships/hyperlink" Target="https://www.france-montagnes.com/sit/val-cenis-statanmsm01730050/" TargetMode="External"/><Relationship Id="rId445" Type="http://schemas.openxmlformats.org/officeDocument/2006/relationships/hyperlink" Target="https://anmsm.media.tourinsoft.eu/upload/Plan-descente-station-Lac-Blanc-Heloise-Cuny.jpg" TargetMode="External"/><Relationship Id="rId291" Type="http://schemas.openxmlformats.org/officeDocument/2006/relationships/hyperlink" Target="https://reservation.ledevoluy.com/" TargetMode="External"/><Relationship Id="rId305" Type="http://schemas.openxmlformats.org/officeDocument/2006/relationships/hyperlink" Target="https://www.france-montagnes.com/sit/montagne-de-lure-570543/" TargetMode="External"/><Relationship Id="rId347" Type="http://schemas.openxmlformats.org/officeDocument/2006/relationships/hyperlink" Target="https://www.france-montagnes.com/sit/val-dallos-statanmsm01040017/" TargetMode="External"/><Relationship Id="rId44" Type="http://schemas.openxmlformats.org/officeDocument/2006/relationships/hyperlink" Target="https://www.laplagneresort.com/" TargetMode="External"/><Relationship Id="rId86" Type="http://schemas.openxmlformats.org/officeDocument/2006/relationships/hyperlink" Target="https://www.france-montagnes.com/sit/la-giettaz-statanmsm2v50090s/" TargetMode="External"/><Relationship Id="rId151" Type="http://schemas.openxmlformats.org/officeDocument/2006/relationships/hyperlink" Target="https://reservation.lessaisies.com/" TargetMode="External"/><Relationship Id="rId389" Type="http://schemas.openxmlformats.org/officeDocument/2006/relationships/hyperlink" Target="https://anmsm.media.tourinsoft.eu/upload/Plan-pistes-25-26.pdf" TargetMode="External"/><Relationship Id="rId193" Type="http://schemas.openxmlformats.org/officeDocument/2006/relationships/hyperlink" Target="https://www.france-montagnes.com/sit/plateau-de-beauregard-29213/" TargetMode="External"/><Relationship Id="rId207" Type="http://schemas.openxmlformats.org/officeDocument/2006/relationships/hyperlink" Target="https://anmsm.media.tourinsoft.eu/upload/Plan-Menuires-18-19-HD-3.pdf" TargetMode="External"/><Relationship Id="rId249" Type="http://schemas.openxmlformats.org/officeDocument/2006/relationships/hyperlink" Target="https://www.france-montagnes.com/sit/valloire-statanmsm01730054/" TargetMode="External"/><Relationship Id="rId414" Type="http://schemas.openxmlformats.org/officeDocument/2006/relationships/hyperlink" Target="https://www.france-montagnes.com/sit/les-angles-statanmsm01660013/" TargetMode="External"/><Relationship Id="rId456" Type="http://schemas.openxmlformats.org/officeDocument/2006/relationships/hyperlink" Target="https://www.france-montagnes.com/sit/xonrupt-longemer-53095/" TargetMode="External"/><Relationship Id="rId13" Type="http://schemas.openxmlformats.org/officeDocument/2006/relationships/hyperlink" Target="https://www.lesarcs.com/" TargetMode="External"/><Relationship Id="rId109" Type="http://schemas.openxmlformats.org/officeDocument/2006/relationships/hyperlink" Target="https://www.france-montagnes.com/sit/le-col-de-marcieu-chartreuse-statanmsm2v5030gm/" TargetMode="External"/><Relationship Id="rId260" Type="http://schemas.openxmlformats.org/officeDocument/2006/relationships/hyperlink" Target="https://www.france-montagnes.com/sit/vaujany-statanmsm01380034/" TargetMode="External"/><Relationship Id="rId316" Type="http://schemas.openxmlformats.org/officeDocument/2006/relationships/hyperlink" Target="https://www.france-montagnes.com/sit/pelvoux-vallouise-28808/" TargetMode="External"/><Relationship Id="rId55" Type="http://schemas.openxmlformats.org/officeDocument/2006/relationships/hyperlink" Target="https://www.france-montagnes.com/sit/col-de-larzelier-28994/" TargetMode="External"/><Relationship Id="rId97" Type="http://schemas.openxmlformats.org/officeDocument/2006/relationships/hyperlink" Target="https://anmsm.media.tourinsoft.eu/upload/DSR-PLANDESPISTES-2024-2025-WEB.pdf" TargetMode="External"/><Relationship Id="rId120" Type="http://schemas.openxmlformats.org/officeDocument/2006/relationships/hyperlink" Target="https://www.france-montagnes.com/sit/le-planolet-29159/" TargetMode="External"/><Relationship Id="rId358" Type="http://schemas.openxmlformats.org/officeDocument/2006/relationships/hyperlink" Target="https://www.france-montagnes.com/sit/la-combe-saint-pierre-570549/" TargetMode="External"/><Relationship Id="rId162" Type="http://schemas.openxmlformats.org/officeDocument/2006/relationships/hyperlink" Target="https://www.france-montagnes.com/sit/mont-saxonnex-29255/" TargetMode="External"/><Relationship Id="rId218" Type="http://schemas.openxmlformats.org/officeDocument/2006/relationships/hyperlink" Target="https://www.saintefoy-reservation.com/fr/" TargetMode="External"/><Relationship Id="rId425" Type="http://schemas.openxmlformats.org/officeDocument/2006/relationships/hyperlink" Target="https://resa.saintlary.com/" TargetMode="External"/><Relationship Id="rId271" Type="http://schemas.openxmlformats.org/officeDocument/2006/relationships/hyperlink" Target="https://hiver.auron.com/bons-plans/?external=1" TargetMode="External"/><Relationship Id="rId24" Type="http://schemas.openxmlformats.org/officeDocument/2006/relationships/hyperlink" Target="https://www.france-montagnes.com/sit/aussois-statanmsm01730003/" TargetMode="External"/><Relationship Id="rId66" Type="http://schemas.openxmlformats.org/officeDocument/2006/relationships/hyperlink" Target="https://reservation.courchevel.com/?lang=fr_FR" TargetMode="External"/><Relationship Id="rId131" Type="http://schemas.openxmlformats.org/officeDocument/2006/relationships/hyperlink" Target="https://www.lesarcs.com/" TargetMode="External"/><Relationship Id="rId327" Type="http://schemas.openxmlformats.org/officeDocument/2006/relationships/hyperlink" Target="https://www.france-montagnes.com/sit/risoul-statanmsm01050024/" TargetMode="External"/><Relationship Id="rId369" Type="http://schemas.openxmlformats.org/officeDocument/2006/relationships/hyperlink" Target="https://anmsm.media.tourinsoft.eu/upload/Plan-pistes-Super-Besse-2026---Lumiplan-3524x2000.jpg" TargetMode="External"/><Relationship Id="rId173" Type="http://schemas.openxmlformats.org/officeDocument/2006/relationships/hyperlink" Target="https://www.france-montagnes.com/sit/nancy-sur-cluses-29189/" TargetMode="External"/><Relationship Id="rId229" Type="http://schemas.openxmlformats.org/officeDocument/2006/relationships/hyperlink" Target="https://www.france-montagnes.com/sit/thollon-les-memises-statanmsm01740044/" TargetMode="External"/><Relationship Id="rId380" Type="http://schemas.openxmlformats.org/officeDocument/2006/relationships/hyperlink" Target="https://anmsm.media.tourinsoft.eu/upload/Plan-pistes-Mt-Dore-sancy-TV---2026---Lumiplan-2250x1080.jpg" TargetMode="External"/><Relationship Id="rId436" Type="http://schemas.openxmlformats.org/officeDocument/2006/relationships/hyperlink" Target="https://www.france-montagnes.com/sit/gerardmer-statanmsm01880003/" TargetMode="External"/><Relationship Id="rId240" Type="http://schemas.openxmlformats.org/officeDocument/2006/relationships/hyperlink" Target="https://anmsm.media.tourinsoft.eu/upload/Plan-des-pistes-Val-d-Isere-2024-2025.png" TargetMode="External"/><Relationship Id="rId35" Type="http://schemas.openxmlformats.org/officeDocument/2006/relationships/hyperlink" Target="https://anmsm.media.tourinsoft.eu/upload/730005-09.jpg" TargetMode="External"/><Relationship Id="rId77" Type="http://schemas.openxmlformats.org/officeDocument/2006/relationships/hyperlink" Target="https://www.france-montagnes.com/sit/haut-giffre-29192/" TargetMode="External"/><Relationship Id="rId100" Type="http://schemas.openxmlformats.org/officeDocument/2006/relationships/hyperlink" Target="https://reservation.la-toussuire.com/z14220_fr-.aspx" TargetMode="External"/><Relationship Id="rId282" Type="http://schemas.openxmlformats.org/officeDocument/2006/relationships/hyperlink" Target="https://anmsm.media.tourinsoft.eu/upload/ISOLA-2000-plan-des-pistes.pdf" TargetMode="External"/><Relationship Id="rId338" Type="http://schemas.openxmlformats.org/officeDocument/2006/relationships/hyperlink" Target="https://reservation.serre-chevalier.com/" TargetMode="External"/><Relationship Id="rId8" Type="http://schemas.openxmlformats.org/officeDocument/2006/relationships/hyperlink" Target="https://anmsm.media.tourinsoft.eu/upload/Alpe-d-huez-Alpin-2026.pdf" TargetMode="External"/><Relationship Id="rId142" Type="http://schemas.openxmlformats.org/officeDocument/2006/relationships/hyperlink" Target="https://www.chamonix.com/la-vallee/les-stations-villages/les-houches" TargetMode="External"/><Relationship Id="rId184" Type="http://schemas.openxmlformats.org/officeDocument/2006/relationships/hyperlink" Target="https://www.peisey-vallandry.com/" TargetMode="External"/><Relationship Id="rId391" Type="http://schemas.openxmlformats.org/officeDocument/2006/relationships/hyperlink" Target="https://www.n-py.com/fr/ete/sejour-pyrenees/hebergement" TargetMode="External"/><Relationship Id="rId405" Type="http://schemas.openxmlformats.org/officeDocument/2006/relationships/hyperlink" Target="https://www.france-montagnes.com/sit/grand-tourmalet-statanmsm01650008/" TargetMode="External"/><Relationship Id="rId447" Type="http://schemas.openxmlformats.org/officeDocument/2006/relationships/hyperlink" Target="https://www.france-montagnes.com/sit/le-markstein-29102/" TargetMode="External"/><Relationship Id="rId251" Type="http://schemas.openxmlformats.org/officeDocument/2006/relationships/hyperlink" Target="https://www.france-montagnes.com/sit/vallorcine-29219/" TargetMode="External"/><Relationship Id="rId46" Type="http://schemas.openxmlformats.org/officeDocument/2006/relationships/hyperlink" Target="https://www.france-montagnes.com/sit/champagny-en-vanoise-statanmsm01730009/" TargetMode="External"/><Relationship Id="rId293" Type="http://schemas.openxmlformats.org/officeDocument/2006/relationships/hyperlink" Target="https://www.france-montagnes.com/sit/le-devoluy-statanmsm01050028/" TargetMode="External"/><Relationship Id="rId307" Type="http://schemas.openxmlformats.org/officeDocument/2006/relationships/hyperlink" Target="https://anmsm.media.tourinsoft.eu/upload/Plan-hiver.jpeg" TargetMode="External"/><Relationship Id="rId349" Type="http://schemas.openxmlformats.org/officeDocument/2006/relationships/hyperlink" Target="https://anmsm.media.tourinsoft.eu/upload/valberg-plan-des-pistes-h25-26-1.pdf" TargetMode="External"/><Relationship Id="rId88" Type="http://schemas.openxmlformats.org/officeDocument/2006/relationships/hyperlink" Target="https://reservation.haute-maurienne-vanoise.com/ac54-la-norma.htm" TargetMode="External"/><Relationship Id="rId111" Type="http://schemas.openxmlformats.org/officeDocument/2006/relationships/hyperlink" Target="https://www.france-montagnes.com/sit/le-collet-statanmsm2v5030gk/" TargetMode="External"/><Relationship Id="rId153" Type="http://schemas.openxmlformats.org/officeDocument/2006/relationships/hyperlink" Target="https://www.france-montagnes.com/sit/les-saisies-statanmsm01730031/" TargetMode="External"/><Relationship Id="rId195" Type="http://schemas.openxmlformats.org/officeDocument/2006/relationships/hyperlink" Target="https://anmsm.media.tourinsoft.eu/upload/Pralo-pistes-END.pdf" TargetMode="External"/><Relationship Id="rId209" Type="http://schemas.openxmlformats.org/officeDocument/2006/relationships/hyperlink" Target="https://www.saintsorlindarves.com/hebergements/reservation" TargetMode="External"/><Relationship Id="rId360" Type="http://schemas.openxmlformats.org/officeDocument/2006/relationships/hyperlink" Target="https://www.france-montagnes.com/sit/les-fourgs-28940/" TargetMode="External"/><Relationship Id="rId416" Type="http://schemas.openxmlformats.org/officeDocument/2006/relationships/hyperlink" Target="https://www.france-montagnes.com/sit/luz-ardiden-28580/" TargetMode="External"/><Relationship Id="rId220" Type="http://schemas.openxmlformats.org/officeDocument/2006/relationships/hyperlink" Target="https://www.france-montagnes.com/sit/sainte-foy-tarentaise-statanmsm01730044/" TargetMode="External"/><Relationship Id="rId458" Type="http://schemas.openxmlformats.org/officeDocument/2006/relationships/hyperlink" Target="https://www.france-montagnes.com/sit/hautacam-29051/" TargetMode="External"/><Relationship Id="rId15" Type="http://schemas.openxmlformats.org/officeDocument/2006/relationships/hyperlink" Target="https://www.lesarcs.com/" TargetMode="External"/><Relationship Id="rId57" Type="http://schemas.openxmlformats.org/officeDocument/2006/relationships/hyperlink" Target="https://reservation.combloux.com/?lang=fr_FR" TargetMode="External"/><Relationship Id="rId262" Type="http://schemas.openxmlformats.org/officeDocument/2006/relationships/hyperlink" Target="https://anmsm.media.tourinsoft.eu/upload/SEVLC-plan-seul-1225.jpg" TargetMode="External"/><Relationship Id="rId318" Type="http://schemas.openxmlformats.org/officeDocument/2006/relationships/hyperlink" Target="https://www.valdallos.com/" TargetMode="External"/><Relationship Id="rId99" Type="http://schemas.openxmlformats.org/officeDocument/2006/relationships/hyperlink" Target="https://reservation.courchevel.com/?lang=fr_FR" TargetMode="External"/><Relationship Id="rId122" Type="http://schemas.openxmlformats.org/officeDocument/2006/relationships/hyperlink" Target="https://www.france-montagnes.com/sit/le-reposoir-29177/" TargetMode="External"/><Relationship Id="rId164" Type="http://schemas.openxmlformats.org/officeDocument/2006/relationships/hyperlink" Target="https://anmsm.media.tourinsoft.eu/upload/PlanPistesParadiski2024-LaPlagne-LesArcs-Peisey-Vallandry.pdf" TargetMode="External"/><Relationship Id="rId371" Type="http://schemas.openxmlformats.org/officeDocument/2006/relationships/hyperlink" Target="https://www.france-montagnes.com/sit/chastreix-sancy-29012/" TargetMode="External"/><Relationship Id="rId427" Type="http://schemas.openxmlformats.org/officeDocument/2006/relationships/hyperlink" Target="https://www.france-montagnes.com/sit/saint-lary-soulan-statanmsm01650013/" TargetMode="External"/><Relationship Id="rId26" Type="http://schemas.openxmlformats.org/officeDocument/2006/relationships/hyperlink" Target="https://reservation.avoriaz.com/" TargetMode="External"/><Relationship Id="rId231" Type="http://schemas.openxmlformats.org/officeDocument/2006/relationships/hyperlink" Target="https://www.france-montagnes.com/sit/tignes-statanmsm01730049/" TargetMode="External"/><Relationship Id="rId273" Type="http://schemas.openxmlformats.org/officeDocument/2006/relationships/hyperlink" Target="https://www.france-montagnes.com/sit/auron-statanmsm01060001/" TargetMode="External"/><Relationship Id="rId329" Type="http://schemas.openxmlformats.org/officeDocument/2006/relationships/hyperlink" Target="https://www.france-montagnes.com/sit/reallon-28814/" TargetMode="External"/><Relationship Id="rId68" Type="http://schemas.openxmlformats.org/officeDocument/2006/relationships/hyperlink" Target="https://anmsm.media.tourinsoft.eu/upload/PLAN-PISTES-ZONES-CVC---ED.pdf" TargetMode="External"/><Relationship Id="rId133" Type="http://schemas.openxmlformats.org/officeDocument/2006/relationships/hyperlink" Target="https://reservation.la-toussuire.com/z14220_fr-.aspx" TargetMode="External"/><Relationship Id="rId175" Type="http://schemas.openxmlformats.org/officeDocument/2006/relationships/hyperlink" Target="https://anmsm.media.tourinsoft.eu/upload/espace-diamant-plan-pistes.jpg" TargetMode="External"/><Relationship Id="rId340" Type="http://schemas.openxmlformats.org/officeDocument/2006/relationships/hyperlink" Target="https://www.orcieres.com/fr/decouvrir/le-territoire/serre-eyraud/" TargetMode="External"/><Relationship Id="rId200" Type="http://schemas.openxmlformats.org/officeDocument/2006/relationships/hyperlink" Target="https://www.saint-colomban.com/la-vallee-des-villards.html" TargetMode="External"/><Relationship Id="rId382" Type="http://schemas.openxmlformats.org/officeDocument/2006/relationships/hyperlink" Target="https://www.france-montagnes.com/sit/les-estables-29003/" TargetMode="External"/><Relationship Id="rId438" Type="http://schemas.openxmlformats.org/officeDocument/2006/relationships/hyperlink" Target="https://www.labresse.net/hebergements-a-la-bresse-hautes-vosges/" TargetMode="External"/><Relationship Id="rId242" Type="http://schemas.openxmlformats.org/officeDocument/2006/relationships/hyperlink" Target="https://reservation.valthorens.com/" TargetMode="External"/><Relationship Id="rId284" Type="http://schemas.openxmlformats.org/officeDocument/2006/relationships/hyperlink" Target="https://colmiane.com/" TargetMode="External"/><Relationship Id="rId37" Type="http://schemas.openxmlformats.org/officeDocument/2006/relationships/hyperlink" Target="https://brides-les-bains.secureticket.fr/provider/choisirsingleprovider" TargetMode="External"/><Relationship Id="rId79" Type="http://schemas.openxmlformats.org/officeDocument/2006/relationships/hyperlink" Target="https://www.france-montagnes.com/sit/hirmentaz-570526/" TargetMode="External"/><Relationship Id="rId102" Type="http://schemas.openxmlformats.org/officeDocument/2006/relationships/hyperlink" Target="https://skipass.lansenvercors.com/fr/" TargetMode="External"/><Relationship Id="rId144" Type="http://schemas.openxmlformats.org/officeDocument/2006/relationships/hyperlink" Target="https://www.france-montagnes.com/sit/les-houches-statanmsm01740022/" TargetMode="External"/><Relationship Id="rId90" Type="http://schemas.openxmlformats.org/officeDocument/2006/relationships/hyperlink" Target="https://www.france-montagnes.com/sit/la-norma-statanmsm01730015/" TargetMode="External"/><Relationship Id="rId186" Type="http://schemas.openxmlformats.org/officeDocument/2006/relationships/hyperlink" Target="https://www.france-montagnes.com/sit/peisey-vallandry-statanmsm01730037/" TargetMode="External"/><Relationship Id="rId351" Type="http://schemas.openxmlformats.org/officeDocument/2006/relationships/hyperlink" Target="https://www.alpes-sudlocations.com/reservation-sejour-vars/" TargetMode="External"/><Relationship Id="rId393" Type="http://schemas.openxmlformats.org/officeDocument/2006/relationships/hyperlink" Target="https://www.france-montagnes.com/sit/bolquere-pyrenees-2000-statanmsm2v503432/" TargetMode="External"/><Relationship Id="rId407" Type="http://schemas.openxmlformats.org/officeDocument/2006/relationships/hyperlink" Target="https://www.n-py.com/fr/ete/sejour-pyrenees/hebergement" TargetMode="External"/><Relationship Id="rId449" Type="http://schemas.openxmlformats.org/officeDocument/2006/relationships/hyperlink" Target="https://www.france-montagnes.com/sit/lispach-la-bresse-570520/" TargetMode="External"/><Relationship Id="rId211" Type="http://schemas.openxmlformats.org/officeDocument/2006/relationships/hyperlink" Target="https://www.france-montagnes.com/sit/saint-sorlin-darves-statanmsm01730043/" TargetMode="External"/><Relationship Id="rId253" Type="http://schemas.openxmlformats.org/officeDocument/2006/relationships/hyperlink" Target="https://anmsm.media.tourinsoft.eu/upload/VALMEINIER-VALLOIRE-hiver-2024-2025-V6-BD.pdf" TargetMode="External"/><Relationship Id="rId295" Type="http://schemas.openxmlformats.org/officeDocument/2006/relationships/hyperlink" Target="https://www.valdallos.com/" TargetMode="External"/><Relationship Id="rId309" Type="http://schemas.openxmlformats.org/officeDocument/2006/relationships/hyperlink" Target="https://reservation.montgenevre.com/" TargetMode="External"/><Relationship Id="rId48" Type="http://schemas.openxmlformats.org/officeDocument/2006/relationships/hyperlink" Target="https://anmsm.media.tourinsoft.eu/upload/PLAN-PISTES-2024-25-web.pdf" TargetMode="External"/><Relationship Id="rId113" Type="http://schemas.openxmlformats.org/officeDocument/2006/relationships/hyperlink" Target="https://anmsm.media.tourinsoft.eu/upload/Plan-des-pistes-24-25-BLEU-HORIZONTAL-fevrier-2025.pdf" TargetMode="External"/><Relationship Id="rId320" Type="http://schemas.openxmlformats.org/officeDocument/2006/relationships/hyperlink" Target="https://www.paysdesecrins.com/hebergements/" TargetMode="External"/><Relationship Id="rId155" Type="http://schemas.openxmlformats.org/officeDocument/2006/relationships/hyperlink" Target="https://www.france-montagnes.com/sit/lus-la-croix-haute-29291/" TargetMode="External"/><Relationship Id="rId197" Type="http://schemas.openxmlformats.org/officeDocument/2006/relationships/hyperlink" Target="https://www.les7laux.com/hiver/" TargetMode="External"/><Relationship Id="rId362" Type="http://schemas.openxmlformats.org/officeDocument/2006/relationships/hyperlink" Target="https://www.paysdegex-montsjura.com/" TargetMode="External"/><Relationship Id="rId418" Type="http://schemas.openxmlformats.org/officeDocument/2006/relationships/hyperlink" Target="https://www.n-py.com/fr/peyragudes" TargetMode="External"/><Relationship Id="rId222" Type="http://schemas.openxmlformats.org/officeDocument/2006/relationships/hyperlink" Target="https://www.france-montagnes.com/sit/samoens-570528/" TargetMode="External"/><Relationship Id="rId264" Type="http://schemas.openxmlformats.org/officeDocument/2006/relationships/hyperlink" Target="https://www.france-montagnes.com/sit/villard-reculas-28985/" TargetMode="External"/><Relationship Id="rId17" Type="http://schemas.openxmlformats.org/officeDocument/2006/relationships/hyperlink" Target="https://reservation.areches-beaufort.com/" TargetMode="External"/><Relationship Id="rId59" Type="http://schemas.openxmlformats.org/officeDocument/2006/relationships/hyperlink" Target="https://www.france-montagnes.com/sit/combloux-statanmsm01740009/" TargetMode="External"/><Relationship Id="rId124" Type="http://schemas.openxmlformats.org/officeDocument/2006/relationships/hyperlink" Target="https://booking.chamonix.com/fr/" TargetMode="External"/><Relationship Id="rId70" Type="http://schemas.openxmlformats.org/officeDocument/2006/relationships/hyperlink" Target="https://www.france-montagnes.com/sit/espace-roc-denfer-29324/" TargetMode="External"/><Relationship Id="rId166" Type="http://schemas.openxmlformats.org/officeDocument/2006/relationships/hyperlink" Target="https://www.france-montagnes.com/sit/montmin-29228/" TargetMode="External"/><Relationship Id="rId331" Type="http://schemas.openxmlformats.org/officeDocument/2006/relationships/hyperlink" Target="https://www.champsaur3gliss.com/fr/" TargetMode="External"/><Relationship Id="rId373" Type="http://schemas.openxmlformats.org/officeDocument/2006/relationships/hyperlink" Target="https://www.france-montagnes.com/sit/espace-aubrac-57055/" TargetMode="External"/><Relationship Id="rId429" Type="http://schemas.openxmlformats.org/officeDocument/2006/relationships/hyperlink" Target="https://www.france-montagnes.com/sit/superbagneres-29309/" TargetMode="External"/><Relationship Id="rId1" Type="http://schemas.openxmlformats.org/officeDocument/2006/relationships/hyperlink" Target="https://www.france-montagnes.com/sit/abondance-29204/" TargetMode="External"/><Relationship Id="rId233" Type="http://schemas.openxmlformats.org/officeDocument/2006/relationships/hyperlink" Target="https://reservation.tignes.net/" TargetMode="External"/><Relationship Id="rId440" Type="http://schemas.openxmlformats.org/officeDocument/2006/relationships/hyperlink" Target="https://www.france-montagnes.com/sit/la-bresse-hohneck-statanmsm01880004/" TargetMode="External"/><Relationship Id="rId28" Type="http://schemas.openxmlformats.org/officeDocument/2006/relationships/hyperlink" Target="https://www.laplagneresort.com/" TargetMode="External"/><Relationship Id="rId275" Type="http://schemas.openxmlformats.org/officeDocument/2006/relationships/hyperlink" Target="https://www.selonnetchabanon-tourisme.fr/" TargetMode="External"/><Relationship Id="rId300" Type="http://schemas.openxmlformats.org/officeDocument/2006/relationships/hyperlink" Target="https://reservation.lesorres.com/" TargetMode="External"/><Relationship Id="rId81" Type="http://schemas.openxmlformats.org/officeDocument/2006/relationships/hyperlink" Target="https://anmsm.media.tourinsoft.eu/upload/PLAN-Laclusaz-2023-6.pdf" TargetMode="External"/><Relationship Id="rId135" Type="http://schemas.openxmlformats.org/officeDocument/2006/relationships/hyperlink" Target="https://reservation.lescarroz.com/" TargetMode="External"/><Relationship Id="rId177" Type="http://schemas.openxmlformats.org/officeDocument/2006/relationships/hyperlink" Target="https://www.france-montagnes.com/sit/orange-29198/" TargetMode="External"/><Relationship Id="rId342" Type="http://schemas.openxmlformats.org/officeDocument/2006/relationships/hyperlink" Target="https://www.france-montagnes.com/sit/serre-eyraud-statanmsm2v500rn5/" TargetMode="External"/><Relationship Id="rId384" Type="http://schemas.openxmlformats.org/officeDocument/2006/relationships/hyperlink" Target="https://www.france-montagnes.com/sit/prat-peyrot-mont-aigoual-53065/" TargetMode="External"/><Relationship Id="rId202" Type="http://schemas.openxmlformats.org/officeDocument/2006/relationships/hyperlink" Target="https://reservation.saintfrancoislongchamp.com/" TargetMode="External"/><Relationship Id="rId244" Type="http://schemas.openxmlformats.org/officeDocument/2006/relationships/hyperlink" Target="https://www.france-montagnes.com/sit/val-thorens-statanmsm01730052/" TargetMode="External"/><Relationship Id="rId39" Type="http://schemas.openxmlformats.org/officeDocument/2006/relationships/hyperlink" Target="https://www.france-montagnes.com/sit/brides-les-bains-statanmsm01730007/" TargetMode="External"/><Relationship Id="rId286" Type="http://schemas.openxmlformats.org/officeDocument/2006/relationships/hyperlink" Target="https://www.france-montagnes.com/sit/la-colmiane-statanmsm2v500t84/" TargetMode="External"/><Relationship Id="rId451" Type="http://schemas.openxmlformats.org/officeDocument/2006/relationships/hyperlink" Target="https://anmsm.media.tourinsoft.eu/upload/Plan-des-piste-Rouge-Gazon.jpg" TargetMode="External"/><Relationship Id="rId50" Type="http://schemas.openxmlformats.org/officeDocument/2006/relationships/hyperlink" Target="https://www.chamrousse.com/hiver" TargetMode="External"/><Relationship Id="rId104" Type="http://schemas.openxmlformats.org/officeDocument/2006/relationships/hyperlink" Target="https://reservation.haute-maurienne-vanoise.com/ac57-val-cenis.htm" TargetMode="External"/><Relationship Id="rId146" Type="http://schemas.openxmlformats.org/officeDocument/2006/relationships/hyperlink" Target="https://anmsm.media.tourinsoft.eu/upload/Karellis-2019-2020-ALPIN-V1-HD-2.jpg" TargetMode="External"/><Relationship Id="rId188" Type="http://schemas.openxmlformats.org/officeDocument/2006/relationships/hyperlink" Target="https://www.laplagneresort.com/" TargetMode="External"/><Relationship Id="rId311" Type="http://schemas.openxmlformats.org/officeDocument/2006/relationships/hyperlink" Target="https://www.france-montagnes.com/sit/montgenevre-statanmsm01050018/" TargetMode="External"/><Relationship Id="rId353" Type="http://schemas.openxmlformats.org/officeDocument/2006/relationships/hyperlink" Target="https://www.france-montagnes.com/sit/vars-statanmsm01050032/" TargetMode="External"/><Relationship Id="rId395" Type="http://schemas.openxmlformats.org/officeDocument/2006/relationships/hyperlink" Target="https://resa.saintlary.com/" TargetMode="External"/><Relationship Id="rId409" Type="http://schemas.openxmlformats.org/officeDocument/2006/relationships/hyperlink" Target="https://www.france-montagnes.com/sit/le-chioula-28934/" TargetMode="External"/><Relationship Id="rId92" Type="http://schemas.openxmlformats.org/officeDocument/2006/relationships/hyperlink" Target="https://anmsm.media.tourinsoft.eu/upload/PlanPistesParadiski2026-compressed.pdf" TargetMode="External"/><Relationship Id="rId213" Type="http://schemas.openxmlformats.org/officeDocument/2006/relationships/hyperlink" Target="https://www.france-montagnes.com/sit/saint-hilaire-du-touvet-28988/" TargetMode="External"/><Relationship Id="rId420" Type="http://schemas.openxmlformats.org/officeDocument/2006/relationships/hyperlink" Target="https://www.france-montagnes.com/sit/peyragudes-statanmsm016500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85"/>
  <sheetViews>
    <sheetView tabSelected="1" zoomScaleNormal="100" workbookViewId="0">
      <pane xSplit="1" ySplit="1" topLeftCell="AA2" activePane="bottomRight" state="frozen"/>
      <selection pane="topRight" activeCell="B1" sqref="B1"/>
      <selection pane="bottomLeft" activeCell="A2" sqref="A2"/>
      <selection pane="bottomRight" activeCell="Y13" sqref="Y13"/>
    </sheetView>
  </sheetViews>
  <sheetFormatPr baseColWidth="10" defaultColWidth="8.7109375" defaultRowHeight="15" x14ac:dyDescent="0.25"/>
  <cols>
    <col min="1" max="1" width="26" customWidth="1"/>
    <col min="2" max="2" width="24.28515625" bestFit="1" customWidth="1"/>
    <col min="3" max="3" width="15" customWidth="1"/>
    <col min="4" max="4" width="24" customWidth="1"/>
    <col min="5" max="5" width="11" customWidth="1"/>
    <col min="6" max="6" width="24" customWidth="1"/>
    <col min="7" max="7" width="11" customWidth="1"/>
    <col min="8" max="8" width="22" customWidth="1"/>
    <col min="9" max="10" width="11" customWidth="1"/>
    <col min="11" max="11" width="17" customWidth="1"/>
    <col min="12" max="12" width="30" customWidth="1"/>
    <col min="13" max="13" width="15" customWidth="1"/>
    <col min="14" max="15" width="16" customWidth="1"/>
    <col min="16" max="16" width="19" customWidth="1"/>
    <col min="17" max="17" width="15" customWidth="1"/>
    <col min="18" max="18" width="18" customWidth="1"/>
    <col min="19" max="19" width="15" customWidth="1"/>
    <col min="20" max="20" width="17" customWidth="1"/>
    <col min="21" max="24" width="12" customWidth="1"/>
    <col min="25" max="25" width="14" customWidth="1"/>
    <col min="26" max="26" width="17" customWidth="1"/>
    <col min="27" max="27" width="70.140625" bestFit="1" customWidth="1"/>
    <col min="28" max="28" width="26" customWidth="1"/>
    <col min="29" max="29" width="96.42578125" bestFit="1" customWidth="1"/>
    <col min="30" max="30" width="41.85546875" bestFit="1" customWidth="1"/>
    <col min="31" max="31" width="78.28515625" bestFit="1" customWidth="1"/>
  </cols>
  <sheetData>
    <row r="1" spans="1:31" ht="33.75" customHeight="1"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28</v>
      </c>
      <c r="AB1" s="1" t="s">
        <v>29</v>
      </c>
      <c r="AC1" s="1" t="s">
        <v>30</v>
      </c>
      <c r="AD1" s="1" t="s">
        <v>31</v>
      </c>
      <c r="AE1" s="1" t="s">
        <v>32</v>
      </c>
    </row>
    <row r="2" spans="1:31" x14ac:dyDescent="0.25">
      <c r="A2" s="2" t="s">
        <v>33</v>
      </c>
      <c r="B2" s="3" t="s">
        <v>34</v>
      </c>
      <c r="C2" s="3" t="s">
        <v>35</v>
      </c>
      <c r="D2" s="4" t="s">
        <v>36</v>
      </c>
      <c r="E2" s="3" t="s">
        <v>37</v>
      </c>
      <c r="F2" s="3" t="s">
        <v>33</v>
      </c>
      <c r="G2" s="4" t="s">
        <v>38</v>
      </c>
      <c r="H2" s="3" t="s">
        <v>39</v>
      </c>
      <c r="I2" s="5">
        <v>46.267386999999999</v>
      </c>
      <c r="J2" s="5">
        <v>6.7317299999999998</v>
      </c>
      <c r="K2" s="6">
        <v>1050</v>
      </c>
      <c r="L2" s="3" t="s">
        <v>40</v>
      </c>
      <c r="M2" s="7">
        <v>920</v>
      </c>
      <c r="N2" s="7">
        <v>2230</v>
      </c>
      <c r="O2" s="7">
        <f t="shared" ref="O2:O64" si="0">IF(OR(M2="",N2=""),"",N2-M2)</f>
        <v>1310</v>
      </c>
      <c r="P2" s="7">
        <v>1565</v>
      </c>
      <c r="Q2" s="8">
        <v>4.7E-2</v>
      </c>
      <c r="R2" s="9">
        <v>493.7</v>
      </c>
      <c r="S2" s="6">
        <v>762</v>
      </c>
      <c r="T2" s="6">
        <v>195</v>
      </c>
      <c r="U2" s="6">
        <v>120</v>
      </c>
      <c r="V2" s="6">
        <v>357</v>
      </c>
      <c r="W2" s="6">
        <v>210</v>
      </c>
      <c r="X2" s="6">
        <v>32</v>
      </c>
      <c r="Y2" s="6">
        <v>43</v>
      </c>
      <c r="Z2" s="10">
        <v>1.21</v>
      </c>
      <c r="AA2" s="3"/>
      <c r="AB2" s="3"/>
      <c r="AC2" s="3"/>
      <c r="AD2" s="3" t="s">
        <v>41</v>
      </c>
      <c r="AE2" s="11" t="s">
        <v>42</v>
      </c>
    </row>
    <row r="3" spans="1:31" x14ac:dyDescent="0.25">
      <c r="A3" s="2" t="s">
        <v>43</v>
      </c>
      <c r="B3" s="3" t="s">
        <v>34</v>
      </c>
      <c r="C3" s="3" t="s">
        <v>35</v>
      </c>
      <c r="D3" s="4" t="s">
        <v>44</v>
      </c>
      <c r="E3" s="3" t="s">
        <v>45</v>
      </c>
      <c r="F3" s="3" t="s">
        <v>46</v>
      </c>
      <c r="G3" s="4" t="s">
        <v>47</v>
      </c>
      <c r="H3" s="3" t="s">
        <v>39</v>
      </c>
      <c r="I3" s="5">
        <v>45.642910999999998</v>
      </c>
      <c r="J3" s="5">
        <v>6.0620139999999996</v>
      </c>
      <c r="K3" s="6">
        <v>1387</v>
      </c>
      <c r="L3" s="3" t="s">
        <v>48</v>
      </c>
      <c r="M3" s="7">
        <v>1385</v>
      </c>
      <c r="N3" s="7">
        <v>1835</v>
      </c>
      <c r="O3" s="7">
        <f t="shared" si="0"/>
        <v>450</v>
      </c>
      <c r="P3" s="7">
        <v>1581</v>
      </c>
      <c r="Q3" s="8">
        <v>0</v>
      </c>
      <c r="R3" s="9">
        <v>21.7</v>
      </c>
      <c r="S3" s="6">
        <v>43</v>
      </c>
      <c r="T3" s="6">
        <v>10</v>
      </c>
      <c r="U3" s="6">
        <v>8</v>
      </c>
      <c r="V3" s="6">
        <v>26</v>
      </c>
      <c r="W3" s="6">
        <v>3</v>
      </c>
      <c r="X3" s="6">
        <v>3</v>
      </c>
      <c r="Y3" s="6">
        <v>3</v>
      </c>
      <c r="Z3" s="10">
        <v>7.0000000000000007E-2</v>
      </c>
      <c r="AA3" s="3"/>
      <c r="AB3" s="3"/>
      <c r="AC3" s="3"/>
      <c r="AD3" s="3" t="s">
        <v>49</v>
      </c>
      <c r="AE3" s="11" t="s">
        <v>50</v>
      </c>
    </row>
    <row r="4" spans="1:31" x14ac:dyDescent="0.25">
      <c r="A4" s="2" t="s">
        <v>51</v>
      </c>
      <c r="B4" s="3" t="s">
        <v>34</v>
      </c>
      <c r="C4" s="3" t="s">
        <v>35</v>
      </c>
      <c r="D4" s="4" t="s">
        <v>44</v>
      </c>
      <c r="E4" s="3" t="s">
        <v>52</v>
      </c>
      <c r="F4" s="3" t="s">
        <v>53</v>
      </c>
      <c r="G4" s="4" t="s">
        <v>54</v>
      </c>
      <c r="H4" s="3" t="s">
        <v>39</v>
      </c>
      <c r="I4" s="5">
        <v>45.510420000000003</v>
      </c>
      <c r="J4" s="5">
        <v>6.6659199999999998</v>
      </c>
      <c r="K4" s="6">
        <v>2101</v>
      </c>
      <c r="L4" s="3" t="s">
        <v>55</v>
      </c>
      <c r="M4" s="7">
        <v>1199</v>
      </c>
      <c r="N4" s="7">
        <v>3216</v>
      </c>
      <c r="O4" s="7">
        <f t="shared" si="0"/>
        <v>2017</v>
      </c>
      <c r="P4" s="7">
        <v>2076</v>
      </c>
      <c r="Q4" s="8">
        <v>0.59799999999999998</v>
      </c>
      <c r="R4" s="9">
        <v>487.8</v>
      </c>
      <c r="S4" s="6">
        <v>680</v>
      </c>
      <c r="T4" s="6">
        <v>87</v>
      </c>
      <c r="U4" s="6">
        <v>47</v>
      </c>
      <c r="V4" s="6">
        <v>395</v>
      </c>
      <c r="W4" s="6">
        <v>150</v>
      </c>
      <c r="X4" s="6">
        <v>60</v>
      </c>
      <c r="Y4" s="6">
        <v>28</v>
      </c>
      <c r="Z4" s="10">
        <v>0.05</v>
      </c>
      <c r="AA4" s="11" t="s">
        <v>56</v>
      </c>
      <c r="AB4" s="3" t="s">
        <v>57</v>
      </c>
      <c r="AC4" s="3"/>
      <c r="AD4" s="3" t="s">
        <v>58</v>
      </c>
      <c r="AE4" s="3"/>
    </row>
    <row r="5" spans="1:31" x14ac:dyDescent="0.25">
      <c r="A5" s="2" t="s">
        <v>59</v>
      </c>
      <c r="B5" s="3" t="s">
        <v>34</v>
      </c>
      <c r="C5" s="3" t="s">
        <v>35</v>
      </c>
      <c r="D5" s="4" t="s">
        <v>44</v>
      </c>
      <c r="E5" s="3" t="s">
        <v>60</v>
      </c>
      <c r="F5" s="3" t="s">
        <v>61</v>
      </c>
      <c r="G5" s="4" t="s">
        <v>62</v>
      </c>
      <c r="H5" s="3" t="s">
        <v>39</v>
      </c>
      <c r="I5" s="5">
        <v>45.193508600000001</v>
      </c>
      <c r="J5" s="5">
        <v>6.3441465800000003</v>
      </c>
      <c r="K5" s="6">
        <v>1690</v>
      </c>
      <c r="L5" s="3" t="s">
        <v>61</v>
      </c>
      <c r="M5" s="7">
        <v>1490</v>
      </c>
      <c r="N5" s="7">
        <v>2012</v>
      </c>
      <c r="O5" s="7">
        <f t="shared" si="0"/>
        <v>522</v>
      </c>
      <c r="P5" s="7">
        <v>1697</v>
      </c>
      <c r="Q5" s="8">
        <v>5.0000000000000001E-3</v>
      </c>
      <c r="R5" s="9">
        <v>17.2</v>
      </c>
      <c r="S5" s="6">
        <v>21</v>
      </c>
      <c r="T5" s="6">
        <v>7</v>
      </c>
      <c r="U5" s="6">
        <v>1</v>
      </c>
      <c r="V5" s="6">
        <v>8</v>
      </c>
      <c r="W5" s="6">
        <v>7</v>
      </c>
      <c r="X5" s="6">
        <v>2</v>
      </c>
      <c r="Y5" s="6">
        <v>3</v>
      </c>
      <c r="Z5" s="10">
        <v>1.36</v>
      </c>
      <c r="AA5" s="11" t="s">
        <v>63</v>
      </c>
      <c r="AB5" s="3"/>
      <c r="AC5" s="11" t="s">
        <v>64</v>
      </c>
      <c r="AD5" s="3" t="s">
        <v>65</v>
      </c>
      <c r="AE5" s="11" t="s">
        <v>66</v>
      </c>
    </row>
    <row r="6" spans="1:31" x14ac:dyDescent="0.25">
      <c r="A6" s="2" t="s">
        <v>67</v>
      </c>
      <c r="B6" s="3" t="s">
        <v>34</v>
      </c>
      <c r="C6" s="3" t="s">
        <v>35</v>
      </c>
      <c r="D6" s="4" t="s">
        <v>68</v>
      </c>
      <c r="E6" s="3" t="s">
        <v>69</v>
      </c>
      <c r="F6" s="3" t="s">
        <v>70</v>
      </c>
      <c r="G6" s="4" t="s">
        <v>71</v>
      </c>
      <c r="H6" s="3" t="s">
        <v>39</v>
      </c>
      <c r="I6" s="5">
        <v>45.090400000000002</v>
      </c>
      <c r="J6" s="5">
        <v>6.0696000000000003</v>
      </c>
      <c r="K6" s="6">
        <v>1807</v>
      </c>
      <c r="L6" s="3" t="s">
        <v>72</v>
      </c>
      <c r="M6" s="7">
        <v>1124</v>
      </c>
      <c r="N6" s="7">
        <v>3314</v>
      </c>
      <c r="O6" s="7">
        <f t="shared" si="0"/>
        <v>2190</v>
      </c>
      <c r="P6" s="7">
        <v>1975</v>
      </c>
      <c r="Q6" s="8">
        <v>0.45</v>
      </c>
      <c r="R6" s="9">
        <v>190.2</v>
      </c>
      <c r="S6" s="6">
        <v>350</v>
      </c>
      <c r="T6" s="6">
        <v>82</v>
      </c>
      <c r="U6" s="6">
        <v>131</v>
      </c>
      <c r="V6" s="6">
        <v>89</v>
      </c>
      <c r="W6" s="6">
        <v>75</v>
      </c>
      <c r="X6" s="6">
        <v>33</v>
      </c>
      <c r="Y6" s="6">
        <v>22</v>
      </c>
      <c r="Z6" s="10">
        <v>0.22</v>
      </c>
      <c r="AA6" s="11" t="s">
        <v>73</v>
      </c>
      <c r="AB6" s="3" t="s">
        <v>74</v>
      </c>
      <c r="AC6" s="11" t="s">
        <v>75</v>
      </c>
      <c r="AD6" s="3" t="s">
        <v>76</v>
      </c>
      <c r="AE6" s="11" t="s">
        <v>77</v>
      </c>
    </row>
    <row r="7" spans="1:31" x14ac:dyDescent="0.25">
      <c r="A7" s="2" t="s">
        <v>78</v>
      </c>
      <c r="B7" s="3" t="s">
        <v>34</v>
      </c>
      <c r="C7" s="3" t="s">
        <v>35</v>
      </c>
      <c r="D7" s="4" t="s">
        <v>68</v>
      </c>
      <c r="E7" s="3" t="s">
        <v>79</v>
      </c>
      <c r="F7" s="3" t="s">
        <v>80</v>
      </c>
      <c r="G7" s="4" t="s">
        <v>81</v>
      </c>
      <c r="H7" s="3" t="s">
        <v>82</v>
      </c>
      <c r="I7" s="5">
        <v>45.024468300000002</v>
      </c>
      <c r="J7" s="5">
        <v>5.8612704300000003</v>
      </c>
      <c r="K7" s="6">
        <v>1372</v>
      </c>
      <c r="L7" s="3" t="s">
        <v>83</v>
      </c>
      <c r="M7" s="7">
        <v>1363</v>
      </c>
      <c r="N7" s="7">
        <v>2166</v>
      </c>
      <c r="O7" s="7">
        <f t="shared" si="0"/>
        <v>803</v>
      </c>
      <c r="P7" s="7">
        <v>1792</v>
      </c>
      <c r="Q7" s="8">
        <v>8.2000000000000003E-2</v>
      </c>
      <c r="R7" s="9">
        <v>36.700000000000003</v>
      </c>
      <c r="S7" s="6">
        <v>52</v>
      </c>
      <c r="T7" s="6">
        <v>14</v>
      </c>
      <c r="U7" s="6">
        <v>6</v>
      </c>
      <c r="V7" s="6">
        <v>28</v>
      </c>
      <c r="W7" s="6">
        <v>16</v>
      </c>
      <c r="X7" s="6">
        <v>2</v>
      </c>
      <c r="Y7" s="6"/>
      <c r="Z7" s="10">
        <v>0.12</v>
      </c>
      <c r="AA7" s="11" t="s">
        <v>84</v>
      </c>
      <c r="AB7" s="3" t="s">
        <v>85</v>
      </c>
      <c r="AC7" s="11" t="s">
        <v>86</v>
      </c>
      <c r="AD7" s="3" t="s">
        <v>87</v>
      </c>
      <c r="AE7" s="11" t="s">
        <v>88</v>
      </c>
    </row>
    <row r="8" spans="1:31" x14ac:dyDescent="0.25">
      <c r="A8" s="2" t="s">
        <v>89</v>
      </c>
      <c r="B8" s="3" t="s">
        <v>34</v>
      </c>
      <c r="C8" s="3" t="s">
        <v>35</v>
      </c>
      <c r="D8" s="4" t="s">
        <v>44</v>
      </c>
      <c r="E8" s="3" t="s">
        <v>90</v>
      </c>
      <c r="F8" s="3" t="s">
        <v>91</v>
      </c>
      <c r="G8" s="4" t="s">
        <v>92</v>
      </c>
      <c r="H8" s="3" t="s">
        <v>39</v>
      </c>
      <c r="I8" s="5">
        <v>45.593820000000001</v>
      </c>
      <c r="J8" s="5">
        <v>6.7948000000000004</v>
      </c>
      <c r="K8" s="6">
        <v>1671</v>
      </c>
      <c r="L8" s="3" t="s">
        <v>55</v>
      </c>
      <c r="M8" s="7">
        <v>1199</v>
      </c>
      <c r="N8" s="7">
        <v>3216</v>
      </c>
      <c r="O8" s="7">
        <f t="shared" si="0"/>
        <v>2017</v>
      </c>
      <c r="P8" s="7">
        <v>2076</v>
      </c>
      <c r="Q8" s="8">
        <v>0.59799999999999998</v>
      </c>
      <c r="R8" s="9">
        <v>487.8</v>
      </c>
      <c r="S8" s="6">
        <v>680</v>
      </c>
      <c r="T8" s="6">
        <v>87</v>
      </c>
      <c r="U8" s="6">
        <v>47</v>
      </c>
      <c r="V8" s="6">
        <v>395</v>
      </c>
      <c r="W8" s="6">
        <v>150</v>
      </c>
      <c r="X8" s="6">
        <v>60</v>
      </c>
      <c r="Y8" s="6">
        <v>28</v>
      </c>
      <c r="Z8" s="10">
        <v>0.06</v>
      </c>
      <c r="AA8" s="11" t="s">
        <v>93</v>
      </c>
      <c r="AB8" s="3"/>
      <c r="AC8" s="3"/>
      <c r="AD8" s="3" t="s">
        <v>58</v>
      </c>
      <c r="AE8" s="3"/>
    </row>
    <row r="9" spans="1:31" x14ac:dyDescent="0.25">
      <c r="A9" s="2" t="s">
        <v>94</v>
      </c>
      <c r="B9" s="3" t="s">
        <v>34</v>
      </c>
      <c r="C9" s="3" t="s">
        <v>35</v>
      </c>
      <c r="D9" s="4" t="s">
        <v>44</v>
      </c>
      <c r="E9" s="3" t="s">
        <v>90</v>
      </c>
      <c r="F9" s="3" t="s">
        <v>91</v>
      </c>
      <c r="G9" s="4" t="s">
        <v>92</v>
      </c>
      <c r="H9" s="3" t="s">
        <v>39</v>
      </c>
      <c r="I9" s="5">
        <v>45.573259999999998</v>
      </c>
      <c r="J9" s="5">
        <v>6.78043</v>
      </c>
      <c r="K9" s="6">
        <v>1727</v>
      </c>
      <c r="L9" s="3" t="s">
        <v>55</v>
      </c>
      <c r="M9" s="7">
        <v>1199</v>
      </c>
      <c r="N9" s="7">
        <v>3216</v>
      </c>
      <c r="O9" s="7">
        <f t="shared" si="0"/>
        <v>2017</v>
      </c>
      <c r="P9" s="7">
        <v>2076</v>
      </c>
      <c r="Q9" s="8">
        <v>0.59799999999999998</v>
      </c>
      <c r="R9" s="9">
        <v>487.8</v>
      </c>
      <c r="S9" s="6">
        <v>680</v>
      </c>
      <c r="T9" s="6">
        <v>87</v>
      </c>
      <c r="U9" s="6">
        <v>47</v>
      </c>
      <c r="V9" s="6">
        <v>395</v>
      </c>
      <c r="W9" s="6">
        <v>150</v>
      </c>
      <c r="X9" s="6">
        <v>60</v>
      </c>
      <c r="Y9" s="6">
        <v>28</v>
      </c>
      <c r="Z9" s="10">
        <v>0.01</v>
      </c>
      <c r="AA9" s="11" t="s">
        <v>93</v>
      </c>
      <c r="AB9" s="3"/>
      <c r="AC9" s="3"/>
      <c r="AD9" s="3" t="s">
        <v>58</v>
      </c>
      <c r="AE9" s="3"/>
    </row>
    <row r="10" spans="1:31" x14ac:dyDescent="0.25">
      <c r="A10" s="2" t="s">
        <v>95</v>
      </c>
      <c r="B10" s="3" t="s">
        <v>34</v>
      </c>
      <c r="C10" s="3" t="s">
        <v>35</v>
      </c>
      <c r="D10" s="4" t="s">
        <v>44</v>
      </c>
      <c r="E10" s="3" t="s">
        <v>90</v>
      </c>
      <c r="F10" s="3" t="s">
        <v>91</v>
      </c>
      <c r="G10" s="4" t="s">
        <v>92</v>
      </c>
      <c r="H10" s="3" t="s">
        <v>39</v>
      </c>
      <c r="I10" s="5">
        <v>45.572760000000002</v>
      </c>
      <c r="J10" s="5">
        <v>6.8266</v>
      </c>
      <c r="K10" s="6">
        <v>2040</v>
      </c>
      <c r="L10" s="3" t="s">
        <v>55</v>
      </c>
      <c r="M10" s="7">
        <v>1199</v>
      </c>
      <c r="N10" s="7">
        <v>3216</v>
      </c>
      <c r="O10" s="7">
        <f t="shared" si="0"/>
        <v>2017</v>
      </c>
      <c r="P10" s="7">
        <v>2076</v>
      </c>
      <c r="Q10" s="8">
        <v>0.59799999999999998</v>
      </c>
      <c r="R10" s="9">
        <v>487.8</v>
      </c>
      <c r="S10" s="6">
        <v>680</v>
      </c>
      <c r="T10" s="6">
        <v>87</v>
      </c>
      <c r="U10" s="6">
        <v>47</v>
      </c>
      <c r="V10" s="6">
        <v>395</v>
      </c>
      <c r="W10" s="6">
        <v>150</v>
      </c>
      <c r="X10" s="6">
        <v>60</v>
      </c>
      <c r="Y10" s="6">
        <v>28</v>
      </c>
      <c r="Z10" s="10">
        <v>0.01</v>
      </c>
      <c r="AA10" s="11" t="s">
        <v>93</v>
      </c>
      <c r="AB10" s="3"/>
      <c r="AC10" s="3"/>
      <c r="AD10" s="3" t="s">
        <v>58</v>
      </c>
      <c r="AE10" s="3"/>
    </row>
    <row r="11" spans="1:31" x14ac:dyDescent="0.25">
      <c r="A11" s="2" t="s">
        <v>96</v>
      </c>
      <c r="B11" s="3" t="s">
        <v>34</v>
      </c>
      <c r="C11" s="3" t="s">
        <v>35</v>
      </c>
      <c r="D11" s="4" t="s">
        <v>44</v>
      </c>
      <c r="E11" s="3" t="s">
        <v>90</v>
      </c>
      <c r="F11" s="3" t="s">
        <v>91</v>
      </c>
      <c r="G11" s="4" t="s">
        <v>92</v>
      </c>
      <c r="H11" s="3" t="s">
        <v>39</v>
      </c>
      <c r="I11" s="5">
        <v>45.572249999999997</v>
      </c>
      <c r="J11" s="5">
        <v>6.8330799999999998</v>
      </c>
      <c r="K11" s="6">
        <v>2145</v>
      </c>
      <c r="L11" s="3" t="s">
        <v>55</v>
      </c>
      <c r="M11" s="7">
        <v>1199</v>
      </c>
      <c r="N11" s="7">
        <v>3216</v>
      </c>
      <c r="O11" s="7">
        <f t="shared" si="0"/>
        <v>2017</v>
      </c>
      <c r="P11" s="7">
        <v>2076</v>
      </c>
      <c r="Q11" s="8">
        <v>0.59799999999999998</v>
      </c>
      <c r="R11" s="9">
        <v>487.8</v>
      </c>
      <c r="S11" s="6">
        <v>680</v>
      </c>
      <c r="T11" s="6">
        <v>87</v>
      </c>
      <c r="U11" s="6">
        <v>47</v>
      </c>
      <c r="V11" s="6">
        <v>395</v>
      </c>
      <c r="W11" s="6">
        <v>150</v>
      </c>
      <c r="X11" s="6">
        <v>60</v>
      </c>
      <c r="Y11" s="6">
        <v>28</v>
      </c>
      <c r="Z11" s="10">
        <v>0.06</v>
      </c>
      <c r="AA11" s="11" t="s">
        <v>93</v>
      </c>
      <c r="AB11" s="3"/>
      <c r="AC11" s="3"/>
      <c r="AD11" s="3" t="s">
        <v>58</v>
      </c>
      <c r="AE11" s="3"/>
    </row>
    <row r="12" spans="1:31" x14ac:dyDescent="0.25">
      <c r="A12" s="2" t="s">
        <v>97</v>
      </c>
      <c r="B12" s="3" t="s">
        <v>34</v>
      </c>
      <c r="C12" s="3" t="s">
        <v>35</v>
      </c>
      <c r="D12" s="4" t="s">
        <v>44</v>
      </c>
      <c r="E12" s="3" t="s">
        <v>98</v>
      </c>
      <c r="F12" s="3" t="s">
        <v>99</v>
      </c>
      <c r="G12" s="4" t="s">
        <v>100</v>
      </c>
      <c r="H12" s="3" t="s">
        <v>39</v>
      </c>
      <c r="I12" s="5">
        <v>45.686399999999999</v>
      </c>
      <c r="J12" s="5">
        <v>6.5707000000000004</v>
      </c>
      <c r="K12" s="6">
        <v>1065</v>
      </c>
      <c r="L12" s="3" t="s">
        <v>101</v>
      </c>
      <c r="M12" s="7">
        <v>1018</v>
      </c>
      <c r="N12" s="7">
        <v>2319</v>
      </c>
      <c r="O12" s="7">
        <f t="shared" si="0"/>
        <v>1301</v>
      </c>
      <c r="P12" s="7">
        <v>1765</v>
      </c>
      <c r="Q12" s="8">
        <v>0.215</v>
      </c>
      <c r="R12" s="9">
        <v>36.1</v>
      </c>
      <c r="S12" s="6">
        <v>63</v>
      </c>
      <c r="T12" s="6">
        <v>15</v>
      </c>
      <c r="U12" s="6">
        <v>3</v>
      </c>
      <c r="V12" s="6">
        <v>37</v>
      </c>
      <c r="W12" s="6">
        <v>19</v>
      </c>
      <c r="X12" s="6">
        <v>3</v>
      </c>
      <c r="Y12" s="6">
        <v>1</v>
      </c>
      <c r="Z12" s="10">
        <v>0.4</v>
      </c>
      <c r="AA12" s="11" t="s">
        <v>102</v>
      </c>
      <c r="AB12" s="3" t="s">
        <v>103</v>
      </c>
      <c r="AC12" s="11" t="s">
        <v>104</v>
      </c>
      <c r="AD12" s="3" t="s">
        <v>105</v>
      </c>
      <c r="AE12" s="11" t="s">
        <v>106</v>
      </c>
    </row>
    <row r="13" spans="1:31" x14ac:dyDescent="0.25">
      <c r="A13" s="2" t="s">
        <v>107</v>
      </c>
      <c r="B13" s="3" t="s">
        <v>34</v>
      </c>
      <c r="C13" s="3" t="s">
        <v>35</v>
      </c>
      <c r="D13" s="4" t="s">
        <v>36</v>
      </c>
      <c r="E13" s="3" t="s">
        <v>108</v>
      </c>
      <c r="F13" s="3" t="s">
        <v>109</v>
      </c>
      <c r="G13" s="4" t="s">
        <v>110</v>
      </c>
      <c r="H13" s="3" t="s">
        <v>39</v>
      </c>
      <c r="I13" s="5">
        <v>45.984375</v>
      </c>
      <c r="J13" s="5">
        <v>6.9294180000000001</v>
      </c>
      <c r="K13" s="6">
        <v>1259</v>
      </c>
      <c r="L13" s="3" t="s">
        <v>111</v>
      </c>
      <c r="M13" s="7">
        <v>1232</v>
      </c>
      <c r="N13" s="7">
        <v>3232</v>
      </c>
      <c r="O13" s="7">
        <f t="shared" si="0"/>
        <v>2000</v>
      </c>
      <c r="P13" s="7">
        <v>2084</v>
      </c>
      <c r="Q13" s="8">
        <v>0.624</v>
      </c>
      <c r="R13" s="9">
        <v>39.9</v>
      </c>
      <c r="S13" s="6">
        <v>46</v>
      </c>
      <c r="T13" s="6">
        <v>9</v>
      </c>
      <c r="U13" s="6">
        <v>2</v>
      </c>
      <c r="V13" s="6">
        <v>15</v>
      </c>
      <c r="W13" s="6">
        <v>16</v>
      </c>
      <c r="X13" s="6">
        <v>12</v>
      </c>
      <c r="Y13" s="6">
        <v>1</v>
      </c>
      <c r="Z13" s="10">
        <v>0.63</v>
      </c>
      <c r="AA13" s="3"/>
      <c r="AB13" s="3"/>
      <c r="AC13" s="3"/>
      <c r="AD13" s="3" t="s">
        <v>112</v>
      </c>
      <c r="AE13" s="11" t="s">
        <v>113</v>
      </c>
    </row>
    <row r="14" spans="1:31" x14ac:dyDescent="0.25">
      <c r="A14" s="2" t="s">
        <v>114</v>
      </c>
      <c r="B14" s="3" t="s">
        <v>34</v>
      </c>
      <c r="C14" s="3" t="s">
        <v>35</v>
      </c>
      <c r="D14" s="4" t="s">
        <v>68</v>
      </c>
      <c r="E14" s="3" t="s">
        <v>115</v>
      </c>
      <c r="F14" s="3" t="s">
        <v>116</v>
      </c>
      <c r="G14" s="4" t="s">
        <v>117</v>
      </c>
      <c r="H14" s="3" t="s">
        <v>39</v>
      </c>
      <c r="I14" s="5">
        <v>45.047221999999998</v>
      </c>
      <c r="J14" s="5">
        <v>6.1253140000000004</v>
      </c>
      <c r="K14" s="6">
        <v>945</v>
      </c>
      <c r="L14" s="3" t="s">
        <v>118</v>
      </c>
      <c r="M14" s="7">
        <v>1284</v>
      </c>
      <c r="N14" s="7">
        <v>3511</v>
      </c>
      <c r="O14" s="7">
        <f t="shared" si="0"/>
        <v>2227</v>
      </c>
      <c r="P14" s="7">
        <v>2500</v>
      </c>
      <c r="Q14" s="8">
        <v>0.78500000000000003</v>
      </c>
      <c r="R14" s="9">
        <v>144.5</v>
      </c>
      <c r="S14" s="6">
        <v>250</v>
      </c>
      <c r="T14" s="6">
        <v>46</v>
      </c>
      <c r="U14" s="6">
        <v>62</v>
      </c>
      <c r="V14" s="6">
        <v>137</v>
      </c>
      <c r="W14" s="6">
        <v>33</v>
      </c>
      <c r="X14" s="6">
        <v>17</v>
      </c>
      <c r="Y14" s="6">
        <v>1</v>
      </c>
      <c r="Z14" s="10">
        <v>1.56</v>
      </c>
      <c r="AA14" s="3"/>
      <c r="AB14" s="3"/>
      <c r="AC14" s="3"/>
      <c r="AD14" s="3" t="s">
        <v>119</v>
      </c>
      <c r="AE14" s="11" t="s">
        <v>120</v>
      </c>
    </row>
    <row r="15" spans="1:31" x14ac:dyDescent="0.25">
      <c r="A15" s="2" t="s">
        <v>121</v>
      </c>
      <c r="B15" s="3" t="s">
        <v>34</v>
      </c>
      <c r="C15" s="3" t="s">
        <v>35</v>
      </c>
      <c r="D15" s="4" t="s">
        <v>44</v>
      </c>
      <c r="E15" s="3" t="s">
        <v>122</v>
      </c>
      <c r="F15" s="3" t="s">
        <v>121</v>
      </c>
      <c r="G15" s="4" t="s">
        <v>123</v>
      </c>
      <c r="H15" s="3" t="s">
        <v>39</v>
      </c>
      <c r="I15" s="5">
        <v>45.229500000000002</v>
      </c>
      <c r="J15" s="5">
        <v>6.7392000000000003</v>
      </c>
      <c r="K15" s="6">
        <v>1501</v>
      </c>
      <c r="L15" s="3" t="s">
        <v>124</v>
      </c>
      <c r="M15" s="7">
        <v>1306</v>
      </c>
      <c r="N15" s="7">
        <v>2952</v>
      </c>
      <c r="O15" s="7">
        <f t="shared" si="0"/>
        <v>1646</v>
      </c>
      <c r="P15" s="7">
        <v>2087</v>
      </c>
      <c r="Q15" s="8">
        <v>0.55700000000000005</v>
      </c>
      <c r="R15" s="9">
        <v>255.4</v>
      </c>
      <c r="S15" s="6">
        <v>402</v>
      </c>
      <c r="T15" s="6">
        <v>79</v>
      </c>
      <c r="U15" s="6">
        <v>108</v>
      </c>
      <c r="V15" s="6">
        <v>136</v>
      </c>
      <c r="W15" s="6">
        <v>112</v>
      </c>
      <c r="X15" s="6">
        <v>20</v>
      </c>
      <c r="Y15" s="6">
        <v>26</v>
      </c>
      <c r="Z15" s="10">
        <v>0.22</v>
      </c>
      <c r="AA15" s="11" t="s">
        <v>125</v>
      </c>
      <c r="AB15" s="3" t="s">
        <v>85</v>
      </c>
      <c r="AC15" s="11" t="s">
        <v>126</v>
      </c>
      <c r="AD15" s="3" t="s">
        <v>127</v>
      </c>
      <c r="AE15" s="11" t="s">
        <v>128</v>
      </c>
    </row>
    <row r="16" spans="1:31" x14ac:dyDescent="0.25">
      <c r="A16" s="2" t="s">
        <v>129</v>
      </c>
      <c r="B16" s="3" t="s">
        <v>34</v>
      </c>
      <c r="C16" s="3" t="s">
        <v>35</v>
      </c>
      <c r="D16" s="4" t="s">
        <v>68</v>
      </c>
      <c r="E16" s="3" t="s">
        <v>130</v>
      </c>
      <c r="F16" s="3" t="s">
        <v>131</v>
      </c>
      <c r="G16" s="4" t="s">
        <v>132</v>
      </c>
      <c r="H16" s="3" t="s">
        <v>39</v>
      </c>
      <c r="I16" s="5">
        <v>45.155315999999999</v>
      </c>
      <c r="J16" s="5">
        <v>5.5527509999999998</v>
      </c>
      <c r="K16" s="6">
        <v>1040</v>
      </c>
      <c r="L16" s="3" t="s">
        <v>133</v>
      </c>
      <c r="M16" s="7">
        <v>1003</v>
      </c>
      <c r="N16" s="7">
        <v>1607</v>
      </c>
      <c r="O16" s="7">
        <f t="shared" si="0"/>
        <v>604</v>
      </c>
      <c r="P16" s="7">
        <v>1385</v>
      </c>
      <c r="Q16" s="8">
        <v>0</v>
      </c>
      <c r="R16" s="9">
        <v>19.600000000000001</v>
      </c>
      <c r="S16" s="6">
        <v>41</v>
      </c>
      <c r="T16" s="6">
        <v>13</v>
      </c>
      <c r="U16" s="6">
        <v>10</v>
      </c>
      <c r="V16" s="6">
        <v>14</v>
      </c>
      <c r="W16" s="6">
        <v>14</v>
      </c>
      <c r="X16" s="6">
        <v>3</v>
      </c>
      <c r="Y16" s="6"/>
      <c r="Z16" s="10">
        <v>3.97</v>
      </c>
      <c r="AA16" s="3"/>
      <c r="AB16" s="3"/>
      <c r="AC16" s="3"/>
      <c r="AD16" s="3" t="s">
        <v>134</v>
      </c>
      <c r="AE16" s="11" t="s">
        <v>135</v>
      </c>
    </row>
    <row r="17" spans="1:31" x14ac:dyDescent="0.25">
      <c r="A17" s="2" t="s">
        <v>136</v>
      </c>
      <c r="B17" s="3" t="s">
        <v>34</v>
      </c>
      <c r="C17" s="3" t="s">
        <v>35</v>
      </c>
      <c r="D17" s="4" t="s">
        <v>36</v>
      </c>
      <c r="E17" s="3" t="s">
        <v>137</v>
      </c>
      <c r="F17" s="3" t="s">
        <v>138</v>
      </c>
      <c r="G17" s="4" t="s">
        <v>139</v>
      </c>
      <c r="H17" s="3" t="s">
        <v>39</v>
      </c>
      <c r="I17" s="5">
        <v>46.186096999999997</v>
      </c>
      <c r="J17" s="5">
        <v>6.7192369999999997</v>
      </c>
      <c r="K17" s="6">
        <v>1351</v>
      </c>
      <c r="L17" s="3" t="s">
        <v>40</v>
      </c>
      <c r="M17" s="7">
        <v>920</v>
      </c>
      <c r="N17" s="7">
        <v>2230</v>
      </c>
      <c r="O17" s="7">
        <f t="shared" si="0"/>
        <v>1310</v>
      </c>
      <c r="P17" s="7">
        <v>1565</v>
      </c>
      <c r="Q17" s="8">
        <v>4.7E-2</v>
      </c>
      <c r="R17" s="9">
        <v>493.7</v>
      </c>
      <c r="S17" s="6">
        <v>762</v>
      </c>
      <c r="T17" s="6">
        <v>195</v>
      </c>
      <c r="U17" s="6">
        <v>120</v>
      </c>
      <c r="V17" s="6">
        <v>357</v>
      </c>
      <c r="W17" s="6">
        <v>210</v>
      </c>
      <c r="X17" s="6">
        <v>32</v>
      </c>
      <c r="Y17" s="6">
        <v>43</v>
      </c>
      <c r="Z17" s="10">
        <v>0.47</v>
      </c>
      <c r="AA17" s="11" t="s">
        <v>140</v>
      </c>
      <c r="AB17" s="3" t="s">
        <v>103</v>
      </c>
      <c r="AC17" s="3"/>
      <c r="AD17" s="3" t="s">
        <v>41</v>
      </c>
      <c r="AE17" s="11" t="s">
        <v>141</v>
      </c>
    </row>
    <row r="18" spans="1:31" x14ac:dyDescent="0.25">
      <c r="A18" s="2" t="s">
        <v>142</v>
      </c>
      <c r="B18" s="3" t="s">
        <v>34</v>
      </c>
      <c r="C18" s="3" t="s">
        <v>35</v>
      </c>
      <c r="D18" s="4" t="s">
        <v>44</v>
      </c>
      <c r="E18" s="3" t="s">
        <v>52</v>
      </c>
      <c r="F18" s="3" t="s">
        <v>143</v>
      </c>
      <c r="G18" s="4" t="s">
        <v>144</v>
      </c>
      <c r="H18" s="3" t="s">
        <v>39</v>
      </c>
      <c r="I18" s="5">
        <v>45.508200000000002</v>
      </c>
      <c r="J18" s="5">
        <v>6.7068500000000002</v>
      </c>
      <c r="K18" s="6">
        <v>2068</v>
      </c>
      <c r="L18" s="3" t="s">
        <v>55</v>
      </c>
      <c r="M18" s="7">
        <v>1199</v>
      </c>
      <c r="N18" s="7">
        <v>3216</v>
      </c>
      <c r="O18" s="7">
        <f t="shared" si="0"/>
        <v>2017</v>
      </c>
      <c r="P18" s="7">
        <v>2076</v>
      </c>
      <c r="Q18" s="8">
        <v>0.59799999999999998</v>
      </c>
      <c r="R18" s="9">
        <v>487.8</v>
      </c>
      <c r="S18" s="6">
        <v>680</v>
      </c>
      <c r="T18" s="6">
        <v>87</v>
      </c>
      <c r="U18" s="6">
        <v>47</v>
      </c>
      <c r="V18" s="6">
        <v>395</v>
      </c>
      <c r="W18" s="6">
        <v>150</v>
      </c>
      <c r="X18" s="6">
        <v>60</v>
      </c>
      <c r="Y18" s="6">
        <v>28</v>
      </c>
      <c r="Z18" s="10">
        <v>0.06</v>
      </c>
      <c r="AA18" s="11" t="s">
        <v>56</v>
      </c>
      <c r="AB18" s="3" t="s">
        <v>57</v>
      </c>
      <c r="AC18" s="3"/>
      <c r="AD18" s="3" t="s">
        <v>58</v>
      </c>
      <c r="AE18" s="3"/>
    </row>
    <row r="19" spans="1:31" x14ac:dyDescent="0.25">
      <c r="A19" s="2" t="s">
        <v>145</v>
      </c>
      <c r="B19" s="3" t="s">
        <v>34</v>
      </c>
      <c r="C19" s="3" t="s">
        <v>35</v>
      </c>
      <c r="D19" s="4" t="s">
        <v>36</v>
      </c>
      <c r="E19" s="3" t="s">
        <v>146</v>
      </c>
      <c r="F19" s="3" t="s">
        <v>145</v>
      </c>
      <c r="G19" s="4" t="s">
        <v>147</v>
      </c>
      <c r="H19" s="3" t="s">
        <v>39</v>
      </c>
      <c r="I19" s="5">
        <v>46.355269</v>
      </c>
      <c r="J19" s="5">
        <v>6.6755715000000002</v>
      </c>
      <c r="K19" s="6">
        <v>978</v>
      </c>
      <c r="L19" s="3" t="s">
        <v>145</v>
      </c>
      <c r="M19" s="7">
        <v>995</v>
      </c>
      <c r="N19" s="7">
        <v>1871</v>
      </c>
      <c r="O19" s="7">
        <f t="shared" si="0"/>
        <v>876</v>
      </c>
      <c r="P19" s="7">
        <v>1335</v>
      </c>
      <c r="Q19" s="8">
        <v>0</v>
      </c>
      <c r="R19" s="9">
        <v>15.4</v>
      </c>
      <c r="S19" s="6">
        <v>45</v>
      </c>
      <c r="T19" s="6">
        <v>10</v>
      </c>
      <c r="U19" s="6">
        <v>2</v>
      </c>
      <c r="V19" s="6">
        <v>23</v>
      </c>
      <c r="W19" s="6">
        <v>14</v>
      </c>
      <c r="X19" s="6">
        <v>4</v>
      </c>
      <c r="Y19" s="6">
        <v>2</v>
      </c>
      <c r="Z19" s="10">
        <v>1.04</v>
      </c>
      <c r="AA19" s="11" t="s">
        <v>148</v>
      </c>
      <c r="AB19" s="3" t="s">
        <v>149</v>
      </c>
      <c r="AC19" s="11" t="s">
        <v>150</v>
      </c>
      <c r="AD19" s="3" t="s">
        <v>151</v>
      </c>
      <c r="AE19" s="11" t="s">
        <v>152</v>
      </c>
    </row>
    <row r="20" spans="1:31" x14ac:dyDescent="0.25">
      <c r="A20" s="2" t="s">
        <v>153</v>
      </c>
      <c r="B20" s="3" t="s">
        <v>34</v>
      </c>
      <c r="C20" s="3" t="s">
        <v>35</v>
      </c>
      <c r="D20" s="4" t="s">
        <v>44</v>
      </c>
      <c r="E20" s="3" t="s">
        <v>154</v>
      </c>
      <c r="F20" s="3" t="s">
        <v>153</v>
      </c>
      <c r="G20" s="4" t="s">
        <v>155</v>
      </c>
      <c r="H20" s="3" t="s">
        <v>39</v>
      </c>
      <c r="I20" s="5">
        <v>45.323084000000001</v>
      </c>
      <c r="J20" s="5">
        <v>7.0223310000000003</v>
      </c>
      <c r="K20" s="6">
        <v>1764</v>
      </c>
      <c r="L20" s="3" t="s">
        <v>124</v>
      </c>
      <c r="M20" s="7">
        <v>1306</v>
      </c>
      <c r="N20" s="7">
        <v>2952</v>
      </c>
      <c r="O20" s="7">
        <f t="shared" si="0"/>
        <v>1646</v>
      </c>
      <c r="P20" s="7">
        <v>2087</v>
      </c>
      <c r="Q20" s="8">
        <v>0.55700000000000005</v>
      </c>
      <c r="R20" s="9">
        <v>255.4</v>
      </c>
      <c r="S20" s="6">
        <v>402</v>
      </c>
      <c r="T20" s="6">
        <v>79</v>
      </c>
      <c r="U20" s="6">
        <v>108</v>
      </c>
      <c r="V20" s="6">
        <v>136</v>
      </c>
      <c r="W20" s="6">
        <v>112</v>
      </c>
      <c r="X20" s="6">
        <v>20</v>
      </c>
      <c r="Y20" s="6">
        <v>26</v>
      </c>
      <c r="Z20" s="10">
        <v>2.2999999999999998</v>
      </c>
      <c r="AA20" s="3"/>
      <c r="AB20" s="3"/>
      <c r="AC20" s="3"/>
      <c r="AD20" s="3" t="s">
        <v>127</v>
      </c>
      <c r="AE20" s="11" t="s">
        <v>156</v>
      </c>
    </row>
    <row r="21" spans="1:31" x14ac:dyDescent="0.25">
      <c r="A21" s="2" t="s">
        <v>157</v>
      </c>
      <c r="B21" s="3" t="s">
        <v>158</v>
      </c>
      <c r="C21" s="3" t="s">
        <v>35</v>
      </c>
      <c r="D21" s="4" t="s">
        <v>44</v>
      </c>
      <c r="E21" s="3" t="s">
        <v>98</v>
      </c>
      <c r="F21" s="3" t="s">
        <v>159</v>
      </c>
      <c r="G21" s="4" t="s">
        <v>160</v>
      </c>
      <c r="H21" s="3" t="s">
        <v>39</v>
      </c>
      <c r="I21" s="5">
        <v>45.73807</v>
      </c>
      <c r="J21" s="5">
        <v>6.5058400000000001</v>
      </c>
      <c r="K21" s="6">
        <v>1506</v>
      </c>
      <c r="L21" s="3" t="s">
        <v>161</v>
      </c>
      <c r="M21" s="7">
        <v>949</v>
      </c>
      <c r="N21" s="7">
        <v>2054</v>
      </c>
      <c r="O21" s="7">
        <f t="shared" si="0"/>
        <v>1105</v>
      </c>
      <c r="P21" s="7">
        <v>1660</v>
      </c>
      <c r="Q21" s="8">
        <v>1.4E-2</v>
      </c>
      <c r="R21" s="9">
        <v>225.6</v>
      </c>
      <c r="S21" s="6">
        <v>333</v>
      </c>
      <c r="T21" s="6">
        <v>85</v>
      </c>
      <c r="U21" s="6">
        <v>68</v>
      </c>
      <c r="V21" s="6">
        <v>165</v>
      </c>
      <c r="W21" s="6">
        <v>74</v>
      </c>
      <c r="X21" s="6">
        <v>13</v>
      </c>
      <c r="Y21" s="6">
        <v>13</v>
      </c>
      <c r="Z21" s="10">
        <v>0.05</v>
      </c>
      <c r="AA21" s="11" t="s">
        <v>162</v>
      </c>
      <c r="AB21" s="3" t="s">
        <v>103</v>
      </c>
      <c r="AC21" s="3"/>
      <c r="AD21" s="3" t="s">
        <v>163</v>
      </c>
      <c r="AE21" s="3"/>
    </row>
    <row r="22" spans="1:31" x14ac:dyDescent="0.25">
      <c r="A22" s="2" t="s">
        <v>164</v>
      </c>
      <c r="B22" s="3" t="s">
        <v>34</v>
      </c>
      <c r="C22" s="3" t="s">
        <v>35</v>
      </c>
      <c r="D22" s="4" t="s">
        <v>44</v>
      </c>
      <c r="E22" s="3" t="s">
        <v>154</v>
      </c>
      <c r="F22" s="3" t="s">
        <v>165</v>
      </c>
      <c r="G22" s="4" t="s">
        <v>166</v>
      </c>
      <c r="H22" s="3" t="s">
        <v>39</v>
      </c>
      <c r="I22" s="5">
        <v>45.369300000000003</v>
      </c>
      <c r="J22" s="5">
        <v>7.0500999999999996</v>
      </c>
      <c r="K22" s="6">
        <v>1930</v>
      </c>
      <c r="L22" s="3" t="s">
        <v>124</v>
      </c>
      <c r="M22" s="7">
        <v>1306</v>
      </c>
      <c r="N22" s="7">
        <v>2952</v>
      </c>
      <c r="O22" s="7">
        <f t="shared" si="0"/>
        <v>1646</v>
      </c>
      <c r="P22" s="7">
        <v>2087</v>
      </c>
      <c r="Q22" s="8">
        <v>0.55700000000000005</v>
      </c>
      <c r="R22" s="9">
        <v>255.4</v>
      </c>
      <c r="S22" s="6">
        <v>402</v>
      </c>
      <c r="T22" s="6">
        <v>79</v>
      </c>
      <c r="U22" s="6">
        <v>108</v>
      </c>
      <c r="V22" s="6">
        <v>136</v>
      </c>
      <c r="W22" s="6">
        <v>112</v>
      </c>
      <c r="X22" s="6">
        <v>20</v>
      </c>
      <c r="Y22" s="6">
        <v>26</v>
      </c>
      <c r="Z22" s="10">
        <v>0.4</v>
      </c>
      <c r="AA22" s="11" t="s">
        <v>167</v>
      </c>
      <c r="AB22" s="3" t="s">
        <v>85</v>
      </c>
      <c r="AC22" s="11" t="s">
        <v>168</v>
      </c>
      <c r="AD22" s="3" t="s">
        <v>127</v>
      </c>
      <c r="AE22" s="11" t="s">
        <v>169</v>
      </c>
    </row>
    <row r="23" spans="1:31" x14ac:dyDescent="0.25">
      <c r="A23" s="2" t="s">
        <v>170</v>
      </c>
      <c r="B23" s="3" t="s">
        <v>34</v>
      </c>
      <c r="C23" s="3" t="s">
        <v>35</v>
      </c>
      <c r="D23" s="4" t="s">
        <v>44</v>
      </c>
      <c r="E23" s="3" t="s">
        <v>171</v>
      </c>
      <c r="F23" s="3" t="s">
        <v>172</v>
      </c>
      <c r="G23" s="4" t="s">
        <v>173</v>
      </c>
      <c r="H23" s="3" t="s">
        <v>39</v>
      </c>
      <c r="I23" s="5">
        <v>45.454599999999999</v>
      </c>
      <c r="J23" s="5">
        <v>6.5697000000000001</v>
      </c>
      <c r="K23" s="6">
        <v>662</v>
      </c>
      <c r="L23" s="3" t="s">
        <v>174</v>
      </c>
      <c r="M23" s="7">
        <v>1110</v>
      </c>
      <c r="N23" s="7">
        <v>3223</v>
      </c>
      <c r="O23" s="7">
        <f t="shared" si="0"/>
        <v>2113</v>
      </c>
      <c r="P23" s="7">
        <v>2252</v>
      </c>
      <c r="Q23" s="8">
        <v>0.72799999999999998</v>
      </c>
      <c r="R23" s="9">
        <v>771.4</v>
      </c>
      <c r="S23" s="6">
        <v>871</v>
      </c>
      <c r="T23" s="6">
        <v>142</v>
      </c>
      <c r="U23" s="6">
        <v>168</v>
      </c>
      <c r="V23" s="6">
        <v>422</v>
      </c>
      <c r="W23" s="6">
        <v>222</v>
      </c>
      <c r="X23" s="6">
        <v>55</v>
      </c>
      <c r="Y23" s="6">
        <v>4</v>
      </c>
      <c r="Z23" s="10">
        <v>3.11</v>
      </c>
      <c r="AA23" s="11" t="s">
        <v>175</v>
      </c>
      <c r="AB23" s="3"/>
      <c r="AC23" s="11" t="s">
        <v>176</v>
      </c>
      <c r="AD23" s="3" t="s">
        <v>177</v>
      </c>
      <c r="AE23" s="11" t="s">
        <v>178</v>
      </c>
    </row>
    <row r="24" spans="1:31" x14ac:dyDescent="0.25">
      <c r="A24" s="2" t="s">
        <v>179</v>
      </c>
      <c r="B24" s="3" t="s">
        <v>34</v>
      </c>
      <c r="C24" s="3" t="s">
        <v>35</v>
      </c>
      <c r="D24" s="4" t="s">
        <v>36</v>
      </c>
      <c r="E24" s="3" t="s">
        <v>108</v>
      </c>
      <c r="F24" s="3" t="s">
        <v>109</v>
      </c>
      <c r="G24" s="4" t="s">
        <v>110</v>
      </c>
      <c r="H24" s="3" t="s">
        <v>39</v>
      </c>
      <c r="I24" s="5">
        <v>45.948385000000002</v>
      </c>
      <c r="J24" s="5">
        <v>6.8931630000000004</v>
      </c>
      <c r="K24" s="6">
        <v>1075</v>
      </c>
      <c r="L24" s="3" t="s">
        <v>180</v>
      </c>
      <c r="M24" s="7">
        <v>1046</v>
      </c>
      <c r="N24" s="7">
        <v>2505</v>
      </c>
      <c r="O24" s="7">
        <f t="shared" si="0"/>
        <v>1459</v>
      </c>
      <c r="P24" s="7">
        <v>1967</v>
      </c>
      <c r="Q24" s="8">
        <v>0.45100000000000001</v>
      </c>
      <c r="R24" s="9">
        <v>55.1</v>
      </c>
      <c r="S24" s="6">
        <v>72</v>
      </c>
      <c r="T24" s="6">
        <v>18</v>
      </c>
      <c r="U24" s="6">
        <v>17</v>
      </c>
      <c r="V24" s="6">
        <v>19</v>
      </c>
      <c r="W24" s="6">
        <v>23</v>
      </c>
      <c r="X24" s="6">
        <v>13</v>
      </c>
      <c r="Y24" s="6"/>
      <c r="Z24" s="10">
        <v>0.6</v>
      </c>
      <c r="AA24" s="11" t="s">
        <v>181</v>
      </c>
      <c r="AB24" s="3" t="s">
        <v>57</v>
      </c>
      <c r="AC24" s="3"/>
      <c r="AD24" s="3" t="s">
        <v>182</v>
      </c>
      <c r="AE24" s="11" t="s">
        <v>183</v>
      </c>
    </row>
    <row r="25" spans="1:31" x14ac:dyDescent="0.25">
      <c r="A25" s="2" t="s">
        <v>185</v>
      </c>
      <c r="B25" s="3" t="s">
        <v>34</v>
      </c>
      <c r="C25" s="3" t="s">
        <v>35</v>
      </c>
      <c r="D25" s="4" t="s">
        <v>44</v>
      </c>
      <c r="E25" s="3" t="s">
        <v>186</v>
      </c>
      <c r="F25" s="3" t="s">
        <v>187</v>
      </c>
      <c r="G25" s="4" t="s">
        <v>188</v>
      </c>
      <c r="H25" s="3" t="s">
        <v>39</v>
      </c>
      <c r="I25" s="5">
        <v>45.455823299999999</v>
      </c>
      <c r="J25" s="5">
        <v>6.6935927</v>
      </c>
      <c r="K25" s="6">
        <v>1217</v>
      </c>
      <c r="L25" s="3" t="s">
        <v>55</v>
      </c>
      <c r="M25" s="7">
        <v>1199</v>
      </c>
      <c r="N25" s="7">
        <v>3216</v>
      </c>
      <c r="O25" s="7">
        <f t="shared" si="0"/>
        <v>2017</v>
      </c>
      <c r="P25" s="7">
        <v>2076</v>
      </c>
      <c r="Q25" s="8">
        <v>0.59799999999999998</v>
      </c>
      <c r="R25" s="9">
        <v>487.8</v>
      </c>
      <c r="S25" s="6">
        <v>680</v>
      </c>
      <c r="T25" s="6">
        <v>87</v>
      </c>
      <c r="U25" s="6">
        <v>47</v>
      </c>
      <c r="V25" s="6">
        <v>395</v>
      </c>
      <c r="W25" s="6">
        <v>150</v>
      </c>
      <c r="X25" s="6">
        <v>60</v>
      </c>
      <c r="Y25" s="6">
        <v>28</v>
      </c>
      <c r="Z25" s="10">
        <v>0.1</v>
      </c>
      <c r="AA25" s="11" t="s">
        <v>56</v>
      </c>
      <c r="AB25" s="3" t="s">
        <v>57</v>
      </c>
      <c r="AC25" s="11" t="s">
        <v>189</v>
      </c>
      <c r="AD25" s="3" t="s">
        <v>58</v>
      </c>
      <c r="AE25" s="11" t="s">
        <v>190</v>
      </c>
    </row>
    <row r="26" spans="1:31" x14ac:dyDescent="0.25">
      <c r="A26" s="2" t="s">
        <v>191</v>
      </c>
      <c r="B26" s="3" t="s">
        <v>34</v>
      </c>
      <c r="C26" s="3" t="s">
        <v>35</v>
      </c>
      <c r="D26" s="4" t="s">
        <v>68</v>
      </c>
      <c r="E26" s="3" t="s">
        <v>192</v>
      </c>
      <c r="F26" s="3" t="s">
        <v>191</v>
      </c>
      <c r="G26" s="4" t="s">
        <v>193</v>
      </c>
      <c r="H26" s="3" t="s">
        <v>39</v>
      </c>
      <c r="I26" s="5">
        <v>45.122900000000001</v>
      </c>
      <c r="J26" s="5">
        <v>5.8810000000000002</v>
      </c>
      <c r="K26" s="6">
        <v>1768</v>
      </c>
      <c r="L26" s="3" t="s">
        <v>191</v>
      </c>
      <c r="M26" s="7">
        <v>1410</v>
      </c>
      <c r="N26" s="7">
        <v>2246</v>
      </c>
      <c r="O26" s="7">
        <f t="shared" si="0"/>
        <v>836</v>
      </c>
      <c r="P26" s="7">
        <v>1879</v>
      </c>
      <c r="Q26" s="8">
        <v>0.23499999999999999</v>
      </c>
      <c r="R26" s="9">
        <v>49.4</v>
      </c>
      <c r="S26" s="6">
        <v>117</v>
      </c>
      <c r="T26" s="6">
        <v>19</v>
      </c>
      <c r="U26" s="6">
        <v>13</v>
      </c>
      <c r="V26" s="6">
        <v>56</v>
      </c>
      <c r="W26" s="6">
        <v>41</v>
      </c>
      <c r="X26" s="6">
        <v>7</v>
      </c>
      <c r="Y26" s="6"/>
      <c r="Z26" s="10">
        <v>0.01</v>
      </c>
      <c r="AA26" s="11" t="s">
        <v>194</v>
      </c>
      <c r="AB26" s="3" t="s">
        <v>103</v>
      </c>
      <c r="AC26" s="11" t="s">
        <v>195</v>
      </c>
      <c r="AD26" s="3" t="s">
        <v>196</v>
      </c>
      <c r="AE26" s="11" t="s">
        <v>197</v>
      </c>
    </row>
    <row r="27" spans="1:31" x14ac:dyDescent="0.25">
      <c r="A27" s="2" t="s">
        <v>198</v>
      </c>
      <c r="B27" s="3" t="s">
        <v>158</v>
      </c>
      <c r="C27" s="3" t="s">
        <v>35</v>
      </c>
      <c r="D27" s="4" t="s">
        <v>68</v>
      </c>
      <c r="E27" s="3" t="s">
        <v>192</v>
      </c>
      <c r="F27" s="3" t="s">
        <v>191</v>
      </c>
      <c r="G27" s="4" t="s">
        <v>193</v>
      </c>
      <c r="H27" s="3" t="s">
        <v>39</v>
      </c>
      <c r="I27" s="5">
        <v>45.12621</v>
      </c>
      <c r="J27" s="5">
        <v>5.87697</v>
      </c>
      <c r="K27" s="6">
        <v>1667</v>
      </c>
      <c r="L27" s="3" t="s">
        <v>191</v>
      </c>
      <c r="M27" s="7">
        <v>1410</v>
      </c>
      <c r="N27" s="7">
        <v>2246</v>
      </c>
      <c r="O27" s="7">
        <f t="shared" si="0"/>
        <v>836</v>
      </c>
      <c r="P27" s="7">
        <v>1879</v>
      </c>
      <c r="Q27" s="8">
        <v>0.23499999999999999</v>
      </c>
      <c r="R27" s="9">
        <v>49.4</v>
      </c>
      <c r="S27" s="6">
        <v>117</v>
      </c>
      <c r="T27" s="6">
        <v>19</v>
      </c>
      <c r="U27" s="6">
        <v>13</v>
      </c>
      <c r="V27" s="6">
        <v>56</v>
      </c>
      <c r="W27" s="6">
        <v>41</v>
      </c>
      <c r="X27" s="6">
        <v>7</v>
      </c>
      <c r="Y27" s="6"/>
      <c r="Z27" s="10">
        <v>0.21</v>
      </c>
      <c r="AA27" s="11" t="s">
        <v>194</v>
      </c>
      <c r="AB27" s="3" t="s">
        <v>103</v>
      </c>
      <c r="AC27" s="3"/>
      <c r="AD27" s="3" t="s">
        <v>196</v>
      </c>
      <c r="AE27" s="3"/>
    </row>
    <row r="28" spans="1:31" x14ac:dyDescent="0.25">
      <c r="A28" s="2" t="s">
        <v>199</v>
      </c>
      <c r="B28" s="3" t="s">
        <v>158</v>
      </c>
      <c r="C28" s="3" t="s">
        <v>35</v>
      </c>
      <c r="D28" s="4" t="s">
        <v>68</v>
      </c>
      <c r="E28" s="3" t="s">
        <v>192</v>
      </c>
      <c r="F28" s="3" t="s">
        <v>191</v>
      </c>
      <c r="G28" s="4" t="s">
        <v>193</v>
      </c>
      <c r="H28" s="3" t="s">
        <v>39</v>
      </c>
      <c r="I28" s="5">
        <v>45.112439999999999</v>
      </c>
      <c r="J28" s="5">
        <v>5.8767100000000001</v>
      </c>
      <c r="K28" s="6">
        <v>1752</v>
      </c>
      <c r="L28" s="3" t="s">
        <v>191</v>
      </c>
      <c r="M28" s="7">
        <v>1410</v>
      </c>
      <c r="N28" s="7">
        <v>2246</v>
      </c>
      <c r="O28" s="7">
        <f t="shared" si="0"/>
        <v>836</v>
      </c>
      <c r="P28" s="7">
        <v>1879</v>
      </c>
      <c r="Q28" s="8">
        <v>0.23499999999999999</v>
      </c>
      <c r="R28" s="9">
        <v>49.4</v>
      </c>
      <c r="S28" s="6">
        <v>117</v>
      </c>
      <c r="T28" s="6">
        <v>19</v>
      </c>
      <c r="U28" s="6">
        <v>13</v>
      </c>
      <c r="V28" s="6">
        <v>56</v>
      </c>
      <c r="W28" s="6">
        <v>41</v>
      </c>
      <c r="X28" s="6">
        <v>7</v>
      </c>
      <c r="Y28" s="6"/>
      <c r="Z28" s="10">
        <v>0.17</v>
      </c>
      <c r="AA28" s="11" t="s">
        <v>194</v>
      </c>
      <c r="AB28" s="3" t="s">
        <v>103</v>
      </c>
      <c r="AC28" s="3"/>
      <c r="AD28" s="3" t="s">
        <v>196</v>
      </c>
      <c r="AE28" s="3"/>
    </row>
    <row r="29" spans="1:31" x14ac:dyDescent="0.25">
      <c r="A29" s="2" t="s">
        <v>200</v>
      </c>
      <c r="B29" s="3" t="s">
        <v>34</v>
      </c>
      <c r="C29" s="3" t="s">
        <v>35</v>
      </c>
      <c r="D29" s="4" t="s">
        <v>36</v>
      </c>
      <c r="E29" s="3" t="s">
        <v>37</v>
      </c>
      <c r="F29" s="3" t="s">
        <v>201</v>
      </c>
      <c r="G29" s="4" t="s">
        <v>202</v>
      </c>
      <c r="H29" s="3" t="s">
        <v>39</v>
      </c>
      <c r="I29" s="5">
        <v>46.291356</v>
      </c>
      <c r="J29" s="5">
        <v>6.8012069999999998</v>
      </c>
      <c r="K29" s="6">
        <v>1013</v>
      </c>
      <c r="L29" s="3" t="s">
        <v>40</v>
      </c>
      <c r="M29" s="7">
        <v>920</v>
      </c>
      <c r="N29" s="7">
        <v>2230</v>
      </c>
      <c r="O29" s="7">
        <f t="shared" si="0"/>
        <v>1310</v>
      </c>
      <c r="P29" s="7">
        <v>1565</v>
      </c>
      <c r="Q29" s="8">
        <v>4.7E-2</v>
      </c>
      <c r="R29" s="9">
        <v>493.7</v>
      </c>
      <c r="S29" s="6">
        <v>762</v>
      </c>
      <c r="T29" s="6">
        <v>195</v>
      </c>
      <c r="U29" s="6">
        <v>120</v>
      </c>
      <c r="V29" s="6">
        <v>357</v>
      </c>
      <c r="W29" s="6">
        <v>210</v>
      </c>
      <c r="X29" s="6">
        <v>32</v>
      </c>
      <c r="Y29" s="6">
        <v>43</v>
      </c>
      <c r="Z29" s="10">
        <v>1.21</v>
      </c>
      <c r="AA29" s="3"/>
      <c r="AB29" s="3"/>
      <c r="AC29" s="3"/>
      <c r="AD29" s="3" t="s">
        <v>41</v>
      </c>
      <c r="AE29" s="11" t="s">
        <v>203</v>
      </c>
    </row>
    <row r="30" spans="1:31" x14ac:dyDescent="0.25">
      <c r="A30" s="2" t="s">
        <v>204</v>
      </c>
      <c r="B30" s="3" t="s">
        <v>34</v>
      </c>
      <c r="C30" s="3" t="s">
        <v>35</v>
      </c>
      <c r="D30" s="4" t="s">
        <v>36</v>
      </c>
      <c r="E30" s="3" t="s">
        <v>205</v>
      </c>
      <c r="F30" s="3" t="s">
        <v>204</v>
      </c>
      <c r="G30" s="4" t="s">
        <v>206</v>
      </c>
      <c r="H30" s="3" t="s">
        <v>39</v>
      </c>
      <c r="I30" s="5">
        <v>46.256140000000002</v>
      </c>
      <c r="J30" s="5">
        <v>6.8190799999999996</v>
      </c>
      <c r="K30" s="6">
        <v>1157</v>
      </c>
      <c r="L30" s="3" t="s">
        <v>40</v>
      </c>
      <c r="M30" s="7">
        <v>920</v>
      </c>
      <c r="N30" s="7">
        <v>2230</v>
      </c>
      <c r="O30" s="7">
        <f t="shared" si="0"/>
        <v>1310</v>
      </c>
      <c r="P30" s="7">
        <v>1565</v>
      </c>
      <c r="Q30" s="8">
        <v>4.7E-2</v>
      </c>
      <c r="R30" s="9">
        <v>493.7</v>
      </c>
      <c r="S30" s="6">
        <v>762</v>
      </c>
      <c r="T30" s="6">
        <v>195</v>
      </c>
      <c r="U30" s="6">
        <v>120</v>
      </c>
      <c r="V30" s="6">
        <v>357</v>
      </c>
      <c r="W30" s="6">
        <v>210</v>
      </c>
      <c r="X30" s="6">
        <v>32</v>
      </c>
      <c r="Y30" s="6">
        <v>43</v>
      </c>
      <c r="Z30" s="10">
        <v>0.28000000000000003</v>
      </c>
      <c r="AA30" s="3"/>
      <c r="AB30" s="3"/>
      <c r="AC30" s="3"/>
      <c r="AD30" s="3" t="s">
        <v>41</v>
      </c>
      <c r="AE30" s="11" t="s">
        <v>207</v>
      </c>
    </row>
    <row r="31" spans="1:31" x14ac:dyDescent="0.25">
      <c r="A31" s="2" t="s">
        <v>208</v>
      </c>
      <c r="B31" s="3" t="s">
        <v>34</v>
      </c>
      <c r="C31" s="3" t="s">
        <v>35</v>
      </c>
      <c r="D31" s="4" t="s">
        <v>68</v>
      </c>
      <c r="E31" s="3" t="s">
        <v>209</v>
      </c>
      <c r="F31" s="3" t="s">
        <v>210</v>
      </c>
      <c r="G31" s="4" t="s">
        <v>211</v>
      </c>
      <c r="H31" s="3" t="s">
        <v>39</v>
      </c>
      <c r="I31" s="5">
        <v>45.039411000000001</v>
      </c>
      <c r="J31" s="5">
        <v>5.978173</v>
      </c>
      <c r="K31" s="6">
        <v>1039</v>
      </c>
      <c r="L31" s="3" t="s">
        <v>212</v>
      </c>
      <c r="M31" s="7">
        <v>1332</v>
      </c>
      <c r="N31" s="7">
        <v>1867</v>
      </c>
      <c r="O31" s="7">
        <f t="shared" si="0"/>
        <v>535</v>
      </c>
      <c r="P31" s="7">
        <v>1491</v>
      </c>
      <c r="Q31" s="8">
        <v>0</v>
      </c>
      <c r="R31" s="9">
        <v>6.1</v>
      </c>
      <c r="S31" s="6">
        <v>20</v>
      </c>
      <c r="T31" s="6">
        <v>4</v>
      </c>
      <c r="U31" s="6">
        <v>5</v>
      </c>
      <c r="V31" s="6">
        <v>3</v>
      </c>
      <c r="W31" s="6">
        <v>8</v>
      </c>
      <c r="X31" s="6">
        <v>3</v>
      </c>
      <c r="Y31" s="6">
        <v>1</v>
      </c>
      <c r="Z31" s="10">
        <v>0.92</v>
      </c>
      <c r="AA31" s="3"/>
      <c r="AB31" s="3"/>
      <c r="AC31" s="3"/>
      <c r="AD31" s="3" t="s">
        <v>213</v>
      </c>
      <c r="AE31" s="11" t="s">
        <v>214</v>
      </c>
    </row>
    <row r="32" spans="1:31" x14ac:dyDescent="0.25">
      <c r="A32" s="2" t="s">
        <v>215</v>
      </c>
      <c r="B32" s="3" t="s">
        <v>34</v>
      </c>
      <c r="C32" s="3" t="s">
        <v>35</v>
      </c>
      <c r="D32" s="4" t="s">
        <v>68</v>
      </c>
      <c r="E32" s="3" t="s">
        <v>216</v>
      </c>
      <c r="F32" s="3" t="s">
        <v>217</v>
      </c>
      <c r="G32" s="4" t="s">
        <v>218</v>
      </c>
      <c r="H32" s="3" t="s">
        <v>39</v>
      </c>
      <c r="I32" s="5">
        <v>44.990682</v>
      </c>
      <c r="J32" s="5">
        <v>5.5949280000000003</v>
      </c>
      <c r="K32" s="6">
        <v>1152</v>
      </c>
      <c r="L32" s="3" t="s">
        <v>215</v>
      </c>
      <c r="M32" s="7">
        <v>1156</v>
      </c>
      <c r="N32" s="7">
        <v>1491</v>
      </c>
      <c r="O32" s="7">
        <f t="shared" si="0"/>
        <v>335</v>
      </c>
      <c r="P32" s="7">
        <v>1340</v>
      </c>
      <c r="Q32" s="8">
        <v>0</v>
      </c>
      <c r="R32" s="9">
        <v>3.5</v>
      </c>
      <c r="S32" s="6">
        <v>6</v>
      </c>
      <c r="T32" s="6">
        <v>0</v>
      </c>
      <c r="U32" s="6">
        <v>2</v>
      </c>
      <c r="V32" s="6">
        <v>1</v>
      </c>
      <c r="W32" s="6">
        <v>3</v>
      </c>
      <c r="X32" s="6"/>
      <c r="Y32" s="6"/>
      <c r="Z32" s="10">
        <v>0.02</v>
      </c>
      <c r="AA32" s="3"/>
      <c r="AB32" s="3"/>
      <c r="AC32" s="3"/>
      <c r="AD32" s="3" t="s">
        <v>219</v>
      </c>
      <c r="AE32" s="11" t="s">
        <v>220</v>
      </c>
    </row>
    <row r="33" spans="1:31" x14ac:dyDescent="0.25">
      <c r="A33" s="2" t="s">
        <v>221</v>
      </c>
      <c r="B33" s="3" t="s">
        <v>34</v>
      </c>
      <c r="C33" s="3" t="s">
        <v>35</v>
      </c>
      <c r="D33" s="4" t="s">
        <v>222</v>
      </c>
      <c r="E33" s="3" t="s">
        <v>223</v>
      </c>
      <c r="F33" s="3" t="s">
        <v>224</v>
      </c>
      <c r="G33" s="4" t="s">
        <v>225</v>
      </c>
      <c r="H33" s="3" t="s">
        <v>39</v>
      </c>
      <c r="I33" s="5">
        <v>44.833500000000001</v>
      </c>
      <c r="J33" s="5">
        <v>5.4055</v>
      </c>
      <c r="K33" s="6">
        <v>1374</v>
      </c>
      <c r="L33" s="3" t="s">
        <v>226</v>
      </c>
      <c r="M33" s="7">
        <v>1255</v>
      </c>
      <c r="N33" s="7">
        <v>1692</v>
      </c>
      <c r="O33" s="7">
        <f t="shared" si="0"/>
        <v>437</v>
      </c>
      <c r="P33" s="7">
        <v>1446</v>
      </c>
      <c r="Q33" s="8">
        <v>0</v>
      </c>
      <c r="R33" s="9">
        <v>18</v>
      </c>
      <c r="S33" s="6">
        <v>32</v>
      </c>
      <c r="T33" s="6">
        <v>9</v>
      </c>
      <c r="U33" s="6">
        <v>18</v>
      </c>
      <c r="V33" s="6">
        <v>7</v>
      </c>
      <c r="W33" s="6">
        <v>5</v>
      </c>
      <c r="X33" s="6">
        <v>2</v>
      </c>
      <c r="Y33" s="6"/>
      <c r="Z33" s="10">
        <v>0.03</v>
      </c>
      <c r="AA33" s="3"/>
      <c r="AB33" s="3"/>
      <c r="AC33" s="3"/>
      <c r="AD33" s="3" t="s">
        <v>227</v>
      </c>
      <c r="AE33" s="11" t="s">
        <v>228</v>
      </c>
    </row>
    <row r="34" spans="1:31" x14ac:dyDescent="0.25">
      <c r="A34" s="2" t="s">
        <v>229</v>
      </c>
      <c r="B34" s="3" t="s">
        <v>34</v>
      </c>
      <c r="C34" s="3" t="s">
        <v>35</v>
      </c>
      <c r="D34" s="4" t="s">
        <v>36</v>
      </c>
      <c r="E34" s="3" t="s">
        <v>230</v>
      </c>
      <c r="F34" s="3" t="s">
        <v>229</v>
      </c>
      <c r="G34" s="4" t="s">
        <v>231</v>
      </c>
      <c r="H34" s="3" t="s">
        <v>39</v>
      </c>
      <c r="I34" s="5">
        <v>45.894568900000003</v>
      </c>
      <c r="J34" s="5">
        <v>6.6447032500000001</v>
      </c>
      <c r="K34" s="6">
        <v>976</v>
      </c>
      <c r="L34" s="3" t="s">
        <v>232</v>
      </c>
      <c r="M34" s="7">
        <v>1017</v>
      </c>
      <c r="N34" s="7">
        <v>1925</v>
      </c>
      <c r="O34" s="7">
        <f t="shared" si="0"/>
        <v>908</v>
      </c>
      <c r="P34" s="7">
        <v>1499</v>
      </c>
      <c r="Q34" s="8">
        <v>0</v>
      </c>
      <c r="R34" s="9">
        <v>89.5</v>
      </c>
      <c r="S34" s="6">
        <v>181</v>
      </c>
      <c r="T34" s="6">
        <v>30</v>
      </c>
      <c r="U34" s="6">
        <v>21</v>
      </c>
      <c r="V34" s="6">
        <v>66</v>
      </c>
      <c r="W34" s="6">
        <v>66</v>
      </c>
      <c r="X34" s="6">
        <v>18</v>
      </c>
      <c r="Y34" s="6">
        <v>10</v>
      </c>
      <c r="Z34" s="10">
        <v>0.95</v>
      </c>
      <c r="AA34" s="11" t="s">
        <v>233</v>
      </c>
      <c r="AB34" s="3" t="s">
        <v>57</v>
      </c>
      <c r="AC34" s="11" t="s">
        <v>234</v>
      </c>
      <c r="AD34" s="3" t="s">
        <v>235</v>
      </c>
      <c r="AE34" s="11" t="s">
        <v>236</v>
      </c>
    </row>
    <row r="35" spans="1:31" x14ac:dyDescent="0.25">
      <c r="A35" s="2" t="s">
        <v>237</v>
      </c>
      <c r="B35" s="3" t="s">
        <v>34</v>
      </c>
      <c r="C35" s="3" t="s">
        <v>35</v>
      </c>
      <c r="D35" s="4" t="s">
        <v>36</v>
      </c>
      <c r="E35" s="3" t="s">
        <v>238</v>
      </c>
      <c r="F35" s="3" t="s">
        <v>237</v>
      </c>
      <c r="G35" s="4" t="s">
        <v>239</v>
      </c>
      <c r="H35" s="3" t="s">
        <v>39</v>
      </c>
      <c r="I35" s="5">
        <v>45.913347999999999</v>
      </c>
      <c r="J35" s="5">
        <v>6.5972280000000003</v>
      </c>
      <c r="K35" s="6">
        <v>1129</v>
      </c>
      <c r="L35" s="3" t="s">
        <v>232</v>
      </c>
      <c r="M35" s="7">
        <v>1017</v>
      </c>
      <c r="N35" s="7">
        <v>1925</v>
      </c>
      <c r="O35" s="7">
        <f t="shared" si="0"/>
        <v>908</v>
      </c>
      <c r="P35" s="7">
        <v>1499</v>
      </c>
      <c r="Q35" s="8">
        <v>0</v>
      </c>
      <c r="R35" s="9">
        <v>89.5</v>
      </c>
      <c r="S35" s="6">
        <v>181</v>
      </c>
      <c r="T35" s="6">
        <v>30</v>
      </c>
      <c r="U35" s="6">
        <v>21</v>
      </c>
      <c r="V35" s="6">
        <v>66</v>
      </c>
      <c r="W35" s="6">
        <v>66</v>
      </c>
      <c r="X35" s="6">
        <v>18</v>
      </c>
      <c r="Y35" s="6">
        <v>10</v>
      </c>
      <c r="Z35" s="10">
        <v>0.12</v>
      </c>
      <c r="AA35" s="3"/>
      <c r="AB35" s="3"/>
      <c r="AC35" s="3"/>
      <c r="AD35" s="3" t="s">
        <v>235</v>
      </c>
      <c r="AE35" s="11" t="s">
        <v>240</v>
      </c>
    </row>
    <row r="36" spans="1:31" x14ac:dyDescent="0.25">
      <c r="A36" s="2" t="s">
        <v>241</v>
      </c>
      <c r="B36" s="3" t="s">
        <v>34</v>
      </c>
      <c r="C36" s="3" t="s">
        <v>35</v>
      </c>
      <c r="D36" s="4" t="s">
        <v>44</v>
      </c>
      <c r="E36" s="3" t="s">
        <v>242</v>
      </c>
      <c r="F36" s="3" t="s">
        <v>241</v>
      </c>
      <c r="G36" s="4" t="s">
        <v>243</v>
      </c>
      <c r="H36" s="3" t="s">
        <v>39</v>
      </c>
      <c r="I36" s="5">
        <v>45.412199999999999</v>
      </c>
      <c r="J36" s="5">
        <v>6.6372</v>
      </c>
      <c r="K36" s="6">
        <v>1779</v>
      </c>
      <c r="L36" s="3" t="s">
        <v>174</v>
      </c>
      <c r="M36" s="7">
        <v>1110</v>
      </c>
      <c r="N36" s="7">
        <v>3223</v>
      </c>
      <c r="O36" s="7">
        <f t="shared" si="0"/>
        <v>2113</v>
      </c>
      <c r="P36" s="7">
        <v>2252</v>
      </c>
      <c r="Q36" s="8">
        <v>0.72799999999999998</v>
      </c>
      <c r="R36" s="9">
        <v>771.4</v>
      </c>
      <c r="S36" s="6">
        <v>871</v>
      </c>
      <c r="T36" s="6">
        <v>142</v>
      </c>
      <c r="U36" s="6">
        <v>168</v>
      </c>
      <c r="V36" s="6">
        <v>422</v>
      </c>
      <c r="W36" s="6">
        <v>222</v>
      </c>
      <c r="X36" s="6">
        <v>55</v>
      </c>
      <c r="Y36" s="6">
        <v>4</v>
      </c>
      <c r="Z36" s="10">
        <v>0.09</v>
      </c>
      <c r="AA36" s="11" t="s">
        <v>244</v>
      </c>
      <c r="AB36" s="3" t="s">
        <v>103</v>
      </c>
      <c r="AC36" s="11" t="s">
        <v>245</v>
      </c>
      <c r="AD36" s="3" t="s">
        <v>177</v>
      </c>
      <c r="AE36" s="11" t="s">
        <v>246</v>
      </c>
    </row>
    <row r="37" spans="1:31" x14ac:dyDescent="0.25">
      <c r="A37" s="2" t="s">
        <v>247</v>
      </c>
      <c r="B37" s="3" t="s">
        <v>34</v>
      </c>
      <c r="C37" s="3" t="s">
        <v>35</v>
      </c>
      <c r="D37" s="4" t="s">
        <v>44</v>
      </c>
      <c r="E37" s="3" t="s">
        <v>242</v>
      </c>
      <c r="F37" s="3" t="s">
        <v>241</v>
      </c>
      <c r="G37" s="4" t="s">
        <v>243</v>
      </c>
      <c r="H37" s="3" t="s">
        <v>39</v>
      </c>
      <c r="I37" s="5">
        <v>45.432020000000001</v>
      </c>
      <c r="J37" s="5">
        <v>6.6216499999999998</v>
      </c>
      <c r="K37" s="6">
        <v>1256</v>
      </c>
      <c r="L37" s="3" t="s">
        <v>174</v>
      </c>
      <c r="M37" s="7">
        <v>1110</v>
      </c>
      <c r="N37" s="7">
        <v>3223</v>
      </c>
      <c r="O37" s="7">
        <f t="shared" si="0"/>
        <v>2113</v>
      </c>
      <c r="P37" s="7">
        <v>2252</v>
      </c>
      <c r="Q37" s="8">
        <v>0.72799999999999998</v>
      </c>
      <c r="R37" s="9">
        <v>771.4</v>
      </c>
      <c r="S37" s="6">
        <v>871</v>
      </c>
      <c r="T37" s="6">
        <v>142</v>
      </c>
      <c r="U37" s="6">
        <v>168</v>
      </c>
      <c r="V37" s="6">
        <v>422</v>
      </c>
      <c r="W37" s="6">
        <v>222</v>
      </c>
      <c r="X37" s="6">
        <v>55</v>
      </c>
      <c r="Y37" s="6">
        <v>4</v>
      </c>
      <c r="Z37" s="10">
        <v>0.13</v>
      </c>
      <c r="AA37" s="11" t="s">
        <v>244</v>
      </c>
      <c r="AB37" s="3" t="s">
        <v>103</v>
      </c>
      <c r="AC37" s="3"/>
      <c r="AD37" s="3" t="s">
        <v>177</v>
      </c>
      <c r="AE37" s="3"/>
    </row>
    <row r="38" spans="1:31" x14ac:dyDescent="0.25">
      <c r="A38" s="2" t="s">
        <v>248</v>
      </c>
      <c r="B38" s="3" t="s">
        <v>34</v>
      </c>
      <c r="C38" s="3" t="s">
        <v>35</v>
      </c>
      <c r="D38" s="4" t="s">
        <v>44</v>
      </c>
      <c r="E38" s="3" t="s">
        <v>242</v>
      </c>
      <c r="F38" s="3" t="s">
        <v>241</v>
      </c>
      <c r="G38" s="4" t="s">
        <v>243</v>
      </c>
      <c r="H38" s="3" t="s">
        <v>39</v>
      </c>
      <c r="I38" s="5">
        <v>45.414450000000002</v>
      </c>
      <c r="J38" s="5">
        <v>6.6487100000000003</v>
      </c>
      <c r="K38" s="6">
        <v>1568</v>
      </c>
      <c r="L38" s="3" t="s">
        <v>174</v>
      </c>
      <c r="M38" s="7">
        <v>1110</v>
      </c>
      <c r="N38" s="7">
        <v>3223</v>
      </c>
      <c r="O38" s="7">
        <f t="shared" si="0"/>
        <v>2113</v>
      </c>
      <c r="P38" s="7">
        <v>2252</v>
      </c>
      <c r="Q38" s="8">
        <v>0.72799999999999998</v>
      </c>
      <c r="R38" s="9">
        <v>771.4</v>
      </c>
      <c r="S38" s="6">
        <v>871</v>
      </c>
      <c r="T38" s="6">
        <v>142</v>
      </c>
      <c r="U38" s="6">
        <v>168</v>
      </c>
      <c r="V38" s="6">
        <v>422</v>
      </c>
      <c r="W38" s="6">
        <v>222</v>
      </c>
      <c r="X38" s="6">
        <v>55</v>
      </c>
      <c r="Y38" s="6">
        <v>4</v>
      </c>
      <c r="Z38" s="10">
        <v>0.1</v>
      </c>
      <c r="AA38" s="11" t="s">
        <v>244</v>
      </c>
      <c r="AB38" s="3" t="s">
        <v>103</v>
      </c>
      <c r="AC38" s="3"/>
      <c r="AD38" s="3" t="s">
        <v>177</v>
      </c>
      <c r="AE38" s="3"/>
    </row>
    <row r="39" spans="1:31" x14ac:dyDescent="0.25">
      <c r="A39" s="2" t="s">
        <v>249</v>
      </c>
      <c r="B39" s="3" t="s">
        <v>34</v>
      </c>
      <c r="C39" s="3" t="s">
        <v>35</v>
      </c>
      <c r="D39" s="4" t="s">
        <v>44</v>
      </c>
      <c r="E39" s="3" t="s">
        <v>242</v>
      </c>
      <c r="F39" s="3" t="s">
        <v>241</v>
      </c>
      <c r="G39" s="4" t="s">
        <v>243</v>
      </c>
      <c r="H39" s="3" t="s">
        <v>39</v>
      </c>
      <c r="I39" s="5">
        <v>45.42221</v>
      </c>
      <c r="J39" s="5">
        <v>6.6414299999999997</v>
      </c>
      <c r="K39" s="6">
        <v>1489</v>
      </c>
      <c r="L39" s="3" t="s">
        <v>174</v>
      </c>
      <c r="M39" s="7">
        <v>1110</v>
      </c>
      <c r="N39" s="7">
        <v>3223</v>
      </c>
      <c r="O39" s="7">
        <f t="shared" si="0"/>
        <v>2113</v>
      </c>
      <c r="P39" s="7">
        <v>2252</v>
      </c>
      <c r="Q39" s="8">
        <v>0.72799999999999998</v>
      </c>
      <c r="R39" s="9">
        <v>771.4</v>
      </c>
      <c r="S39" s="6">
        <v>871</v>
      </c>
      <c r="T39" s="6">
        <v>142</v>
      </c>
      <c r="U39" s="6">
        <v>168</v>
      </c>
      <c r="V39" s="6">
        <v>422</v>
      </c>
      <c r="W39" s="6">
        <v>222</v>
      </c>
      <c r="X39" s="6">
        <v>55</v>
      </c>
      <c r="Y39" s="6">
        <v>4</v>
      </c>
      <c r="Z39" s="10">
        <v>0.03</v>
      </c>
      <c r="AA39" s="11" t="s">
        <v>244</v>
      </c>
      <c r="AB39" s="3" t="s">
        <v>103</v>
      </c>
      <c r="AC39" s="3"/>
      <c r="AD39" s="3" t="s">
        <v>177</v>
      </c>
      <c r="AE39" s="3"/>
    </row>
    <row r="40" spans="1:31" x14ac:dyDescent="0.25">
      <c r="A40" s="2" t="s">
        <v>250</v>
      </c>
      <c r="B40" s="3" t="s">
        <v>34</v>
      </c>
      <c r="C40" s="3" t="s">
        <v>35</v>
      </c>
      <c r="D40" s="4" t="s">
        <v>44</v>
      </c>
      <c r="E40" s="3" t="s">
        <v>251</v>
      </c>
      <c r="F40" s="3" t="s">
        <v>252</v>
      </c>
      <c r="G40" s="4" t="s">
        <v>253</v>
      </c>
      <c r="H40" s="3" t="s">
        <v>39</v>
      </c>
      <c r="I40" s="5">
        <v>45.794975000000001</v>
      </c>
      <c r="J40" s="5">
        <v>6.5055909999999999</v>
      </c>
      <c r="K40" s="6">
        <v>1226</v>
      </c>
      <c r="L40" s="3" t="s">
        <v>161</v>
      </c>
      <c r="M40" s="7">
        <v>949</v>
      </c>
      <c r="N40" s="7">
        <v>2054</v>
      </c>
      <c r="O40" s="7">
        <f t="shared" si="0"/>
        <v>1105</v>
      </c>
      <c r="P40" s="7">
        <v>1660</v>
      </c>
      <c r="Q40" s="8">
        <v>1.4E-2</v>
      </c>
      <c r="R40" s="9">
        <v>225.6</v>
      </c>
      <c r="S40" s="6">
        <v>333</v>
      </c>
      <c r="T40" s="6">
        <v>85</v>
      </c>
      <c r="U40" s="6">
        <v>68</v>
      </c>
      <c r="V40" s="6">
        <v>165</v>
      </c>
      <c r="W40" s="6">
        <v>74</v>
      </c>
      <c r="X40" s="6">
        <v>13</v>
      </c>
      <c r="Y40" s="6">
        <v>13</v>
      </c>
      <c r="Z40" s="10">
        <v>0.08</v>
      </c>
      <c r="AA40" s="11" t="s">
        <v>254</v>
      </c>
      <c r="AB40" s="3" t="s">
        <v>103</v>
      </c>
      <c r="AC40" s="11" t="s">
        <v>255</v>
      </c>
      <c r="AD40" s="3" t="s">
        <v>163</v>
      </c>
      <c r="AE40" s="11" t="s">
        <v>256</v>
      </c>
    </row>
    <row r="41" spans="1:31" x14ac:dyDescent="0.25">
      <c r="A41" s="2" t="s">
        <v>257</v>
      </c>
      <c r="B41" s="3" t="s">
        <v>34</v>
      </c>
      <c r="C41" s="3" t="s">
        <v>35</v>
      </c>
      <c r="D41" s="4" t="s">
        <v>36</v>
      </c>
      <c r="E41" s="3" t="s">
        <v>258</v>
      </c>
      <c r="F41" s="3" t="s">
        <v>259</v>
      </c>
      <c r="G41" s="4" t="s">
        <v>260</v>
      </c>
      <c r="H41" s="3" t="s">
        <v>39</v>
      </c>
      <c r="I41" s="5">
        <v>46.230330000000002</v>
      </c>
      <c r="J41" s="5">
        <v>6.6569000000000003</v>
      </c>
      <c r="K41" s="6">
        <v>799</v>
      </c>
      <c r="L41" s="3" t="s">
        <v>40</v>
      </c>
      <c r="M41" s="7">
        <v>920</v>
      </c>
      <c r="N41" s="7">
        <v>2230</v>
      </c>
      <c r="O41" s="7">
        <f t="shared" si="0"/>
        <v>1310</v>
      </c>
      <c r="P41" s="7">
        <v>1565</v>
      </c>
      <c r="Q41" s="8">
        <v>4.7E-2</v>
      </c>
      <c r="R41" s="9">
        <v>493.7</v>
      </c>
      <c r="S41" s="6">
        <v>762</v>
      </c>
      <c r="T41" s="6">
        <v>195</v>
      </c>
      <c r="U41" s="6">
        <v>120</v>
      </c>
      <c r="V41" s="6">
        <v>357</v>
      </c>
      <c r="W41" s="6">
        <v>210</v>
      </c>
      <c r="X41" s="6">
        <v>32</v>
      </c>
      <c r="Y41" s="6">
        <v>43</v>
      </c>
      <c r="Z41" s="10">
        <v>1.28</v>
      </c>
      <c r="AA41" s="3"/>
      <c r="AB41" s="3"/>
      <c r="AC41" s="3"/>
      <c r="AD41" s="3" t="s">
        <v>41</v>
      </c>
      <c r="AE41" s="11" t="s">
        <v>261</v>
      </c>
    </row>
    <row r="42" spans="1:31" x14ac:dyDescent="0.25">
      <c r="A42" s="2" t="s">
        <v>262</v>
      </c>
      <c r="B42" s="3" t="s">
        <v>34</v>
      </c>
      <c r="C42" s="3" t="s">
        <v>35</v>
      </c>
      <c r="D42" s="4" t="s">
        <v>36</v>
      </c>
      <c r="E42" s="3" t="s">
        <v>263</v>
      </c>
      <c r="F42" s="3" t="s">
        <v>264</v>
      </c>
      <c r="G42" s="4" t="s">
        <v>265</v>
      </c>
      <c r="H42" s="3" t="s">
        <v>39</v>
      </c>
      <c r="I42" s="5">
        <v>46.019188</v>
      </c>
      <c r="J42" s="5">
        <v>6.6373530000000001</v>
      </c>
      <c r="K42" s="6">
        <v>1140</v>
      </c>
      <c r="L42" s="3" t="s">
        <v>266</v>
      </c>
      <c r="M42" s="7">
        <v>682</v>
      </c>
      <c r="N42" s="7">
        <v>2485</v>
      </c>
      <c r="O42" s="7">
        <f t="shared" si="0"/>
        <v>1803</v>
      </c>
      <c r="P42" s="7">
        <v>1698</v>
      </c>
      <c r="Q42" s="8">
        <v>0.19800000000000001</v>
      </c>
      <c r="R42" s="9">
        <v>385</v>
      </c>
      <c r="S42" s="6">
        <v>444</v>
      </c>
      <c r="T42" s="6">
        <v>72</v>
      </c>
      <c r="U42" s="6">
        <v>128</v>
      </c>
      <c r="V42" s="6">
        <v>189</v>
      </c>
      <c r="W42" s="6">
        <v>92</v>
      </c>
      <c r="X42" s="6">
        <v>25</v>
      </c>
      <c r="Y42" s="6">
        <v>10</v>
      </c>
      <c r="Z42" s="10">
        <v>0.43</v>
      </c>
      <c r="AA42" s="3"/>
      <c r="AB42" s="3"/>
      <c r="AC42" s="3"/>
      <c r="AD42" s="3" t="s">
        <v>267</v>
      </c>
      <c r="AE42" s="11" t="s">
        <v>268</v>
      </c>
    </row>
    <row r="43" spans="1:31" x14ac:dyDescent="0.25">
      <c r="A43" s="2" t="s">
        <v>269</v>
      </c>
      <c r="B43" s="3" t="s">
        <v>34</v>
      </c>
      <c r="C43" s="3" t="s">
        <v>35</v>
      </c>
      <c r="D43" s="4" t="s">
        <v>44</v>
      </c>
      <c r="E43" s="3" t="s">
        <v>251</v>
      </c>
      <c r="F43" s="3" t="s">
        <v>270</v>
      </c>
      <c r="G43" s="4" t="s">
        <v>271</v>
      </c>
      <c r="H43" s="3" t="s">
        <v>39</v>
      </c>
      <c r="I43" s="5">
        <v>45.819291</v>
      </c>
      <c r="J43" s="5">
        <v>6.5163859999999998</v>
      </c>
      <c r="K43" s="6">
        <v>919</v>
      </c>
      <c r="L43" s="3" t="s">
        <v>161</v>
      </c>
      <c r="M43" s="7">
        <v>949</v>
      </c>
      <c r="N43" s="7">
        <v>2054</v>
      </c>
      <c r="O43" s="7">
        <f t="shared" si="0"/>
        <v>1105</v>
      </c>
      <c r="P43" s="7">
        <v>1660</v>
      </c>
      <c r="Q43" s="8">
        <v>1.4E-2</v>
      </c>
      <c r="R43" s="9">
        <v>225.6</v>
      </c>
      <c r="S43" s="6">
        <v>333</v>
      </c>
      <c r="T43" s="6">
        <v>85</v>
      </c>
      <c r="U43" s="6">
        <v>68</v>
      </c>
      <c r="V43" s="6">
        <v>165</v>
      </c>
      <c r="W43" s="6">
        <v>74</v>
      </c>
      <c r="X43" s="6">
        <v>13</v>
      </c>
      <c r="Y43" s="6">
        <v>13</v>
      </c>
      <c r="Z43" s="10">
        <v>0.76</v>
      </c>
      <c r="AA43" s="11" t="s">
        <v>272</v>
      </c>
      <c r="AB43" s="3" t="s">
        <v>103</v>
      </c>
      <c r="AC43" s="3"/>
      <c r="AD43" s="3" t="s">
        <v>163</v>
      </c>
      <c r="AE43" s="11" t="s">
        <v>273</v>
      </c>
    </row>
    <row r="44" spans="1:31" x14ac:dyDescent="0.25">
      <c r="A44" s="2" t="s">
        <v>274</v>
      </c>
      <c r="B44" s="3" t="s">
        <v>34</v>
      </c>
      <c r="C44" s="3" t="s">
        <v>35</v>
      </c>
      <c r="D44" s="4" t="s">
        <v>222</v>
      </c>
      <c r="E44" s="3" t="s">
        <v>275</v>
      </c>
      <c r="F44" s="3" t="s">
        <v>276</v>
      </c>
      <c r="G44" s="4" t="s">
        <v>277</v>
      </c>
      <c r="H44" s="3" t="s">
        <v>39</v>
      </c>
      <c r="I44" s="5">
        <v>44.889924999999998</v>
      </c>
      <c r="J44" s="5">
        <v>5.3321690000000004</v>
      </c>
      <c r="K44" s="6">
        <v>1520</v>
      </c>
      <c r="L44" s="3" t="s">
        <v>278</v>
      </c>
      <c r="M44" s="7">
        <v>1273</v>
      </c>
      <c r="N44" s="7">
        <v>1541</v>
      </c>
      <c r="O44" s="7">
        <f t="shared" si="0"/>
        <v>268</v>
      </c>
      <c r="P44" s="7">
        <v>1412</v>
      </c>
      <c r="Q44" s="8">
        <v>0</v>
      </c>
      <c r="R44" s="9">
        <v>16.100000000000001</v>
      </c>
      <c r="S44" s="6">
        <v>49</v>
      </c>
      <c r="T44" s="6">
        <v>11</v>
      </c>
      <c r="U44" s="6">
        <v>28</v>
      </c>
      <c r="V44" s="6">
        <v>11</v>
      </c>
      <c r="W44" s="6">
        <v>9</v>
      </c>
      <c r="X44" s="6">
        <v>1</v>
      </c>
      <c r="Y44" s="6"/>
      <c r="Z44" s="10">
        <v>1.36</v>
      </c>
      <c r="AA44" s="3"/>
      <c r="AB44" s="3"/>
      <c r="AC44" s="3"/>
      <c r="AD44" s="3" t="s">
        <v>279</v>
      </c>
      <c r="AE44" s="11" t="s">
        <v>280</v>
      </c>
    </row>
    <row r="45" spans="1:31" x14ac:dyDescent="0.25">
      <c r="A45" s="2" t="s">
        <v>281</v>
      </c>
      <c r="B45" s="3" t="s">
        <v>34</v>
      </c>
      <c r="C45" s="3" t="s">
        <v>35</v>
      </c>
      <c r="D45" s="4" t="s">
        <v>68</v>
      </c>
      <c r="E45" s="3" t="s">
        <v>216</v>
      </c>
      <c r="F45" s="3" t="s">
        <v>282</v>
      </c>
      <c r="G45" s="4" t="s">
        <v>283</v>
      </c>
      <c r="H45" s="3" t="s">
        <v>39</v>
      </c>
      <c r="I45" s="5">
        <v>44.897269000000001</v>
      </c>
      <c r="J45" s="5">
        <v>5.5669310000000003</v>
      </c>
      <c r="K45" s="6">
        <v>1254</v>
      </c>
      <c r="L45" s="3" t="s">
        <v>281</v>
      </c>
      <c r="M45" s="7">
        <v>1248</v>
      </c>
      <c r="N45" s="7">
        <v>1697</v>
      </c>
      <c r="O45" s="7">
        <f t="shared" si="0"/>
        <v>449</v>
      </c>
      <c r="P45" s="7">
        <v>1392</v>
      </c>
      <c r="Q45" s="8">
        <v>0</v>
      </c>
      <c r="R45" s="9">
        <v>13</v>
      </c>
      <c r="S45" s="6">
        <v>19</v>
      </c>
      <c r="T45" s="6">
        <v>10</v>
      </c>
      <c r="U45" s="6">
        <v>4</v>
      </c>
      <c r="V45" s="6">
        <v>6</v>
      </c>
      <c r="W45" s="6">
        <v>7</v>
      </c>
      <c r="X45" s="6">
        <v>2</v>
      </c>
      <c r="Y45" s="6"/>
      <c r="Z45" s="10">
        <v>1.42</v>
      </c>
      <c r="AA45" s="3"/>
      <c r="AB45" s="3"/>
      <c r="AC45" s="3"/>
      <c r="AD45" s="3" t="s">
        <v>284</v>
      </c>
      <c r="AE45" s="11" t="s">
        <v>285</v>
      </c>
    </row>
    <row r="46" spans="1:31" x14ac:dyDescent="0.25">
      <c r="A46" s="2" t="s">
        <v>286</v>
      </c>
      <c r="B46" s="3" t="s">
        <v>34</v>
      </c>
      <c r="C46" s="3" t="s">
        <v>35</v>
      </c>
      <c r="D46" s="4" t="s">
        <v>36</v>
      </c>
      <c r="E46" s="3" t="s">
        <v>287</v>
      </c>
      <c r="F46" s="3" t="s">
        <v>288</v>
      </c>
      <c r="G46" s="4" t="s">
        <v>289</v>
      </c>
      <c r="H46" s="3" t="s">
        <v>39</v>
      </c>
      <c r="I46" s="5">
        <v>46.254474000000002</v>
      </c>
      <c r="J46" s="5">
        <v>6.4721979999999997</v>
      </c>
      <c r="K46" s="6">
        <v>975</v>
      </c>
      <c r="L46" s="3" t="s">
        <v>290</v>
      </c>
      <c r="M46" s="7">
        <v>940</v>
      </c>
      <c r="N46" s="7">
        <v>1604</v>
      </c>
      <c r="O46" s="7">
        <f t="shared" si="0"/>
        <v>664</v>
      </c>
      <c r="P46" s="7">
        <v>1324</v>
      </c>
      <c r="Q46" s="8">
        <v>0</v>
      </c>
      <c r="R46" s="9">
        <v>22.7</v>
      </c>
      <c r="S46" s="6">
        <v>44</v>
      </c>
      <c r="T46" s="6">
        <v>20</v>
      </c>
      <c r="U46" s="6">
        <v>6</v>
      </c>
      <c r="V46" s="6">
        <v>18</v>
      </c>
      <c r="W46" s="6">
        <v>18</v>
      </c>
      <c r="X46" s="6">
        <v>2</v>
      </c>
      <c r="Y46" s="6"/>
      <c r="Z46" s="10">
        <v>1.04</v>
      </c>
      <c r="AA46" s="3"/>
      <c r="AB46" s="3"/>
      <c r="AC46" s="3"/>
      <c r="AD46" s="3" t="s">
        <v>291</v>
      </c>
      <c r="AE46" s="11" t="s">
        <v>292</v>
      </c>
    </row>
    <row r="47" spans="1:31" x14ac:dyDescent="0.25">
      <c r="A47" s="2" t="s">
        <v>293</v>
      </c>
      <c r="B47" s="3" t="s">
        <v>34</v>
      </c>
      <c r="C47" s="3" t="s">
        <v>35</v>
      </c>
      <c r="D47" s="4" t="s">
        <v>36</v>
      </c>
      <c r="E47" s="3" t="s">
        <v>294</v>
      </c>
      <c r="F47" s="3" t="s">
        <v>295</v>
      </c>
      <c r="G47" s="4" t="s">
        <v>296</v>
      </c>
      <c r="H47" s="3" t="s">
        <v>39</v>
      </c>
      <c r="I47" s="5">
        <v>46.059660000000001</v>
      </c>
      <c r="J47" s="5">
        <v>6.7914500000000002</v>
      </c>
      <c r="K47" s="6">
        <v>815</v>
      </c>
      <c r="L47" s="3" t="s">
        <v>266</v>
      </c>
      <c r="M47" s="7">
        <v>682</v>
      </c>
      <c r="N47" s="7">
        <v>2485</v>
      </c>
      <c r="O47" s="7">
        <f t="shared" si="0"/>
        <v>1803</v>
      </c>
      <c r="P47" s="7">
        <v>1698</v>
      </c>
      <c r="Q47" s="8">
        <v>0.19800000000000001</v>
      </c>
      <c r="R47" s="9">
        <v>385</v>
      </c>
      <c r="S47" s="6">
        <v>444</v>
      </c>
      <c r="T47" s="6">
        <v>72</v>
      </c>
      <c r="U47" s="6">
        <v>128</v>
      </c>
      <c r="V47" s="6">
        <v>189</v>
      </c>
      <c r="W47" s="6">
        <v>92</v>
      </c>
      <c r="X47" s="6">
        <v>25</v>
      </c>
      <c r="Y47" s="6">
        <v>10</v>
      </c>
      <c r="Z47" s="10">
        <v>2.17</v>
      </c>
      <c r="AA47" s="3"/>
      <c r="AB47" s="3"/>
      <c r="AC47" s="3"/>
      <c r="AD47" s="3" t="s">
        <v>267</v>
      </c>
      <c r="AE47" s="11" t="s">
        <v>297</v>
      </c>
    </row>
    <row r="48" spans="1:31" x14ac:dyDescent="0.25">
      <c r="A48" s="2" t="s">
        <v>298</v>
      </c>
      <c r="B48" s="3" t="s">
        <v>34</v>
      </c>
      <c r="C48" s="3" t="s">
        <v>35</v>
      </c>
      <c r="D48" s="4" t="s">
        <v>44</v>
      </c>
      <c r="E48" s="3" t="s">
        <v>299</v>
      </c>
      <c r="F48" s="3" t="s">
        <v>300</v>
      </c>
      <c r="G48" s="4" t="s">
        <v>301</v>
      </c>
      <c r="H48" s="3" t="s">
        <v>39</v>
      </c>
      <c r="I48" s="5">
        <v>45.776049</v>
      </c>
      <c r="J48" s="5">
        <v>6.6429010000000002</v>
      </c>
      <c r="K48" s="6">
        <v>1324</v>
      </c>
      <c r="L48" s="3" t="s">
        <v>302</v>
      </c>
      <c r="M48" s="7">
        <v>1158</v>
      </c>
      <c r="N48" s="7">
        <v>2444</v>
      </c>
      <c r="O48" s="7">
        <f t="shared" si="0"/>
        <v>1286</v>
      </c>
      <c r="P48" s="7">
        <v>1887</v>
      </c>
      <c r="Q48" s="8">
        <v>0.247</v>
      </c>
      <c r="R48" s="9">
        <v>72.2</v>
      </c>
      <c r="S48" s="6">
        <v>95</v>
      </c>
      <c r="T48" s="6">
        <v>27</v>
      </c>
      <c r="U48" s="6">
        <v>10</v>
      </c>
      <c r="V48" s="6">
        <v>38</v>
      </c>
      <c r="W48" s="6">
        <v>30</v>
      </c>
      <c r="X48" s="6">
        <v>15</v>
      </c>
      <c r="Y48" s="6">
        <v>2</v>
      </c>
      <c r="Z48" s="10">
        <v>0.34</v>
      </c>
      <c r="AA48" s="3"/>
      <c r="AB48" s="3"/>
      <c r="AC48" s="3"/>
      <c r="AD48" s="3" t="s">
        <v>303</v>
      </c>
      <c r="AE48" s="11" t="s">
        <v>304</v>
      </c>
    </row>
    <row r="49" spans="1:31" x14ac:dyDescent="0.25">
      <c r="A49" s="2" t="s">
        <v>305</v>
      </c>
      <c r="B49" s="3" t="s">
        <v>34</v>
      </c>
      <c r="C49" s="3" t="s">
        <v>35</v>
      </c>
      <c r="D49" s="4" t="s">
        <v>36</v>
      </c>
      <c r="E49" s="3" t="s">
        <v>306</v>
      </c>
      <c r="F49" s="3" t="s">
        <v>307</v>
      </c>
      <c r="G49" s="4" t="s">
        <v>308</v>
      </c>
      <c r="H49" s="3" t="s">
        <v>39</v>
      </c>
      <c r="I49" s="5">
        <v>46.246760000000002</v>
      </c>
      <c r="J49" s="5">
        <v>6.5060799999999999</v>
      </c>
      <c r="K49" s="6">
        <v>1226</v>
      </c>
      <c r="L49" s="3" t="s">
        <v>290</v>
      </c>
      <c r="M49" s="7">
        <v>940</v>
      </c>
      <c r="N49" s="7">
        <v>1604</v>
      </c>
      <c r="O49" s="7">
        <f t="shared" si="0"/>
        <v>664</v>
      </c>
      <c r="P49" s="7">
        <v>1324</v>
      </c>
      <c r="Q49" s="8">
        <v>0</v>
      </c>
      <c r="R49" s="9">
        <v>22.7</v>
      </c>
      <c r="S49" s="6">
        <v>44</v>
      </c>
      <c r="T49" s="6">
        <v>20</v>
      </c>
      <c r="U49" s="6">
        <v>6</v>
      </c>
      <c r="V49" s="6">
        <v>18</v>
      </c>
      <c r="W49" s="6">
        <v>18</v>
      </c>
      <c r="X49" s="6">
        <v>2</v>
      </c>
      <c r="Y49" s="6"/>
      <c r="Z49" s="10">
        <v>0.13</v>
      </c>
      <c r="AA49" s="3"/>
      <c r="AB49" s="3"/>
      <c r="AC49" s="3"/>
      <c r="AD49" s="3" t="s">
        <v>291</v>
      </c>
      <c r="AE49" s="11" t="s">
        <v>309</v>
      </c>
    </row>
    <row r="50" spans="1:31" x14ac:dyDescent="0.25">
      <c r="A50" s="2" t="s">
        <v>310</v>
      </c>
      <c r="B50" s="3" t="s">
        <v>34</v>
      </c>
      <c r="C50" s="3" t="s">
        <v>35</v>
      </c>
      <c r="D50" s="4" t="s">
        <v>36</v>
      </c>
      <c r="E50" s="3" t="s">
        <v>311</v>
      </c>
      <c r="F50" s="3" t="s">
        <v>310</v>
      </c>
      <c r="G50" s="4" t="s">
        <v>312</v>
      </c>
      <c r="H50" s="3" t="s">
        <v>39</v>
      </c>
      <c r="I50" s="5">
        <v>45.906700000000001</v>
      </c>
      <c r="J50" s="5">
        <v>6.4222000000000001</v>
      </c>
      <c r="K50" s="6">
        <v>1104</v>
      </c>
      <c r="L50" s="3" t="s">
        <v>310</v>
      </c>
      <c r="M50" s="7">
        <v>1030</v>
      </c>
      <c r="N50" s="7">
        <v>2476</v>
      </c>
      <c r="O50" s="7">
        <f t="shared" si="0"/>
        <v>1446</v>
      </c>
      <c r="P50" s="7">
        <v>1541</v>
      </c>
      <c r="Q50" s="8">
        <v>0.104</v>
      </c>
      <c r="R50" s="9">
        <v>97.1</v>
      </c>
      <c r="S50" s="6">
        <v>148</v>
      </c>
      <c r="T50" s="6">
        <v>51</v>
      </c>
      <c r="U50" s="6">
        <v>29</v>
      </c>
      <c r="V50" s="6">
        <v>60</v>
      </c>
      <c r="W50" s="6">
        <v>47</v>
      </c>
      <c r="X50" s="6">
        <v>11</v>
      </c>
      <c r="Y50" s="6">
        <v>1</v>
      </c>
      <c r="Z50" s="10">
        <v>0.36</v>
      </c>
      <c r="AA50" s="11" t="s">
        <v>313</v>
      </c>
      <c r="AB50" s="3"/>
      <c r="AC50" s="11" t="s">
        <v>314</v>
      </c>
      <c r="AD50" s="3" t="s">
        <v>315</v>
      </c>
      <c r="AE50" s="11" t="s">
        <v>316</v>
      </c>
    </row>
    <row r="51" spans="1:31" x14ac:dyDescent="0.25">
      <c r="A51" s="2" t="s">
        <v>317</v>
      </c>
      <c r="B51" s="3" t="s">
        <v>34</v>
      </c>
      <c r="C51" s="3" t="s">
        <v>35</v>
      </c>
      <c r="D51" s="4" t="s">
        <v>44</v>
      </c>
      <c r="E51" s="3" t="s">
        <v>144</v>
      </c>
      <c r="F51" s="3" t="s">
        <v>318</v>
      </c>
      <c r="G51" s="4" t="s">
        <v>319</v>
      </c>
      <c r="H51" s="3" t="s">
        <v>39</v>
      </c>
      <c r="I51" s="5">
        <v>45.461620000000003</v>
      </c>
      <c r="J51" s="5">
        <v>6.9635400000000001</v>
      </c>
      <c r="K51" s="6">
        <v>1795</v>
      </c>
      <c r="L51" s="3" t="s">
        <v>320</v>
      </c>
      <c r="M51" s="7">
        <v>1559</v>
      </c>
      <c r="N51" s="7">
        <v>3456</v>
      </c>
      <c r="O51" s="7">
        <f t="shared" si="0"/>
        <v>1897</v>
      </c>
      <c r="P51" s="7">
        <v>2479</v>
      </c>
      <c r="Q51" s="8">
        <v>0.92500000000000004</v>
      </c>
      <c r="R51" s="9">
        <v>341.5</v>
      </c>
      <c r="S51" s="6">
        <v>415</v>
      </c>
      <c r="T51" s="6">
        <v>84</v>
      </c>
      <c r="U51" s="6">
        <v>68</v>
      </c>
      <c r="V51" s="6">
        <v>195</v>
      </c>
      <c r="W51" s="6">
        <v>111</v>
      </c>
      <c r="X51" s="6">
        <v>30</v>
      </c>
      <c r="Y51" s="6">
        <v>11</v>
      </c>
      <c r="Z51" s="10">
        <v>7.0000000000000007E-2</v>
      </c>
      <c r="AA51" s="11" t="s">
        <v>321</v>
      </c>
      <c r="AB51" s="3" t="s">
        <v>103</v>
      </c>
      <c r="AC51" s="3"/>
      <c r="AD51" s="3" t="s">
        <v>322</v>
      </c>
      <c r="AE51" s="3"/>
    </row>
    <row r="52" spans="1:31" x14ac:dyDescent="0.25">
      <c r="A52" s="2" t="s">
        <v>323</v>
      </c>
      <c r="B52" s="3" t="s">
        <v>34</v>
      </c>
      <c r="C52" s="3" t="s">
        <v>35</v>
      </c>
      <c r="D52" s="4" t="s">
        <v>44</v>
      </c>
      <c r="E52" s="3" t="s">
        <v>251</v>
      </c>
      <c r="F52" s="3" t="s">
        <v>323</v>
      </c>
      <c r="G52" s="4" t="s">
        <v>324</v>
      </c>
      <c r="H52" s="3" t="s">
        <v>39</v>
      </c>
      <c r="I52" s="5">
        <v>45.862501999999999</v>
      </c>
      <c r="J52" s="5">
        <v>6.4948236899999996</v>
      </c>
      <c r="K52" s="6">
        <v>1112</v>
      </c>
      <c r="L52" s="3" t="s">
        <v>232</v>
      </c>
      <c r="M52" s="7">
        <v>1017</v>
      </c>
      <c r="N52" s="7">
        <v>1925</v>
      </c>
      <c r="O52" s="7">
        <f t="shared" si="0"/>
        <v>908</v>
      </c>
      <c r="P52" s="7">
        <v>1499</v>
      </c>
      <c r="Q52" s="8">
        <v>0</v>
      </c>
      <c r="R52" s="9">
        <v>89.5</v>
      </c>
      <c r="S52" s="6">
        <v>181</v>
      </c>
      <c r="T52" s="6">
        <v>30</v>
      </c>
      <c r="U52" s="6">
        <v>21</v>
      </c>
      <c r="V52" s="6">
        <v>66</v>
      </c>
      <c r="W52" s="6">
        <v>66</v>
      </c>
      <c r="X52" s="6">
        <v>18</v>
      </c>
      <c r="Y52" s="6">
        <v>10</v>
      </c>
      <c r="Z52" s="10">
        <v>0.9</v>
      </c>
      <c r="AA52" s="11" t="s">
        <v>325</v>
      </c>
      <c r="AB52" s="3" t="s">
        <v>103</v>
      </c>
      <c r="AC52" s="11" t="s">
        <v>326</v>
      </c>
      <c r="AD52" s="3" t="s">
        <v>235</v>
      </c>
      <c r="AE52" s="11" t="s">
        <v>327</v>
      </c>
    </row>
    <row r="53" spans="1:31" x14ac:dyDescent="0.25">
      <c r="A53" s="2" t="s">
        <v>328</v>
      </c>
      <c r="B53" s="3" t="s">
        <v>34</v>
      </c>
      <c r="C53" s="3" t="s">
        <v>35</v>
      </c>
      <c r="D53" s="4" t="s">
        <v>68</v>
      </c>
      <c r="E53" s="3" t="s">
        <v>329</v>
      </c>
      <c r="F53" s="3" t="s">
        <v>330</v>
      </c>
      <c r="G53" s="4" t="s">
        <v>331</v>
      </c>
      <c r="H53" s="3" t="s">
        <v>39</v>
      </c>
      <c r="I53" s="5">
        <v>44.954016000000003</v>
      </c>
      <c r="J53" s="5">
        <v>5.740704</v>
      </c>
      <c r="K53" s="6">
        <v>856</v>
      </c>
      <c r="L53" s="3" t="s">
        <v>332</v>
      </c>
      <c r="M53" s="7">
        <v>1280</v>
      </c>
      <c r="N53" s="7">
        <v>1420</v>
      </c>
      <c r="O53" s="7">
        <f t="shared" si="0"/>
        <v>140</v>
      </c>
      <c r="P53" s="7">
        <v>1366</v>
      </c>
      <c r="Q53" s="8">
        <v>0</v>
      </c>
      <c r="R53" s="9">
        <v>2.5</v>
      </c>
      <c r="S53" s="6">
        <v>6</v>
      </c>
      <c r="T53" s="6">
        <v>1</v>
      </c>
      <c r="U53" s="6"/>
      <c r="V53" s="6">
        <v>3</v>
      </c>
      <c r="W53" s="6">
        <v>3</v>
      </c>
      <c r="X53" s="6"/>
      <c r="Y53" s="6"/>
      <c r="Z53" s="10">
        <v>2.2200000000000002</v>
      </c>
      <c r="AA53" s="3"/>
      <c r="AB53" s="3"/>
      <c r="AC53" s="3"/>
      <c r="AD53" s="3" t="s">
        <v>333</v>
      </c>
      <c r="AE53" s="11" t="s">
        <v>334</v>
      </c>
    </row>
    <row r="54" spans="1:31" x14ac:dyDescent="0.25">
      <c r="A54" s="2" t="s">
        <v>335</v>
      </c>
      <c r="B54" s="3" t="s">
        <v>34</v>
      </c>
      <c r="C54" s="3" t="s">
        <v>35</v>
      </c>
      <c r="D54" s="4" t="s">
        <v>44</v>
      </c>
      <c r="E54" s="3" t="s">
        <v>122</v>
      </c>
      <c r="F54" s="3" t="s">
        <v>336</v>
      </c>
      <c r="G54" s="4" t="s">
        <v>337</v>
      </c>
      <c r="H54" s="3" t="s">
        <v>39</v>
      </c>
      <c r="I54" s="5">
        <v>45.198999999999998</v>
      </c>
      <c r="J54" s="5">
        <v>6.6997</v>
      </c>
      <c r="K54" s="6">
        <v>1480</v>
      </c>
      <c r="L54" s="3" t="s">
        <v>124</v>
      </c>
      <c r="M54" s="7">
        <v>1306</v>
      </c>
      <c r="N54" s="7">
        <v>2952</v>
      </c>
      <c r="O54" s="7">
        <f t="shared" si="0"/>
        <v>1646</v>
      </c>
      <c r="P54" s="7">
        <v>2087</v>
      </c>
      <c r="Q54" s="8">
        <v>0.55700000000000005</v>
      </c>
      <c r="R54" s="9">
        <v>255.4</v>
      </c>
      <c r="S54" s="6">
        <v>402</v>
      </c>
      <c r="T54" s="6">
        <v>79</v>
      </c>
      <c r="U54" s="6">
        <v>108</v>
      </c>
      <c r="V54" s="6">
        <v>136</v>
      </c>
      <c r="W54" s="6">
        <v>112</v>
      </c>
      <c r="X54" s="6">
        <v>20</v>
      </c>
      <c r="Y54" s="6">
        <v>26</v>
      </c>
      <c r="Z54" s="10">
        <v>0.04</v>
      </c>
      <c r="AA54" s="11" t="s">
        <v>338</v>
      </c>
      <c r="AB54" s="3" t="s">
        <v>85</v>
      </c>
      <c r="AC54" s="11" t="s">
        <v>339</v>
      </c>
      <c r="AD54" s="3" t="s">
        <v>127</v>
      </c>
      <c r="AE54" s="11" t="s">
        <v>340</v>
      </c>
    </row>
    <row r="55" spans="1:31" x14ac:dyDescent="0.25">
      <c r="A55" s="2" t="s">
        <v>341</v>
      </c>
      <c r="B55" s="3" t="s">
        <v>34</v>
      </c>
      <c r="C55" s="3" t="s">
        <v>35</v>
      </c>
      <c r="D55" s="4" t="s">
        <v>44</v>
      </c>
      <c r="E55" s="3" t="s">
        <v>52</v>
      </c>
      <c r="F55" s="3" t="s">
        <v>143</v>
      </c>
      <c r="G55" s="4" t="s">
        <v>144</v>
      </c>
      <c r="H55" s="3" t="s">
        <v>39</v>
      </c>
      <c r="I55" s="5">
        <v>45.508000000000003</v>
      </c>
      <c r="J55" s="5">
        <v>6.6786000000000003</v>
      </c>
      <c r="K55" s="6">
        <v>1966</v>
      </c>
      <c r="L55" s="3" t="s">
        <v>55</v>
      </c>
      <c r="M55" s="7">
        <v>1199</v>
      </c>
      <c r="N55" s="7">
        <v>3216</v>
      </c>
      <c r="O55" s="7">
        <f t="shared" si="0"/>
        <v>2017</v>
      </c>
      <c r="P55" s="7">
        <v>2076</v>
      </c>
      <c r="Q55" s="8">
        <v>0.59799999999999998</v>
      </c>
      <c r="R55" s="9">
        <v>487.8</v>
      </c>
      <c r="S55" s="6">
        <v>680</v>
      </c>
      <c r="T55" s="6">
        <v>87</v>
      </c>
      <c r="U55" s="6">
        <v>47</v>
      </c>
      <c r="V55" s="6">
        <v>395</v>
      </c>
      <c r="W55" s="6">
        <v>150</v>
      </c>
      <c r="X55" s="6">
        <v>60</v>
      </c>
      <c r="Y55" s="6">
        <v>28</v>
      </c>
      <c r="Z55" s="10">
        <v>0.09</v>
      </c>
      <c r="AA55" s="11" t="s">
        <v>56</v>
      </c>
      <c r="AB55" s="3" t="s">
        <v>57</v>
      </c>
      <c r="AC55" s="11" t="s">
        <v>342</v>
      </c>
      <c r="AD55" s="3" t="s">
        <v>58</v>
      </c>
      <c r="AE55" s="11" t="s">
        <v>344</v>
      </c>
    </row>
    <row r="56" spans="1:31" x14ac:dyDescent="0.25">
      <c r="A56" s="2" t="s">
        <v>345</v>
      </c>
      <c r="B56" s="3" t="s">
        <v>34</v>
      </c>
      <c r="C56" s="3" t="s">
        <v>35</v>
      </c>
      <c r="D56" s="4" t="s">
        <v>44</v>
      </c>
      <c r="E56" s="3" t="s">
        <v>52</v>
      </c>
      <c r="F56" s="3" t="s">
        <v>53</v>
      </c>
      <c r="G56" s="4" t="s">
        <v>54</v>
      </c>
      <c r="H56" s="3" t="s">
        <v>39</v>
      </c>
      <c r="I56" s="5">
        <v>45.535055</v>
      </c>
      <c r="J56" s="5">
        <v>6.6377090000000001</v>
      </c>
      <c r="K56" s="6">
        <v>1357</v>
      </c>
      <c r="L56" s="3" t="s">
        <v>55</v>
      </c>
      <c r="M56" s="7">
        <v>1199</v>
      </c>
      <c r="N56" s="7">
        <v>3216</v>
      </c>
      <c r="O56" s="7">
        <f t="shared" si="0"/>
        <v>2017</v>
      </c>
      <c r="P56" s="7">
        <v>2076</v>
      </c>
      <c r="Q56" s="8">
        <v>0.59799999999999998</v>
      </c>
      <c r="R56" s="9">
        <v>487.8</v>
      </c>
      <c r="S56" s="6">
        <v>680</v>
      </c>
      <c r="T56" s="6">
        <v>87</v>
      </c>
      <c r="U56" s="6">
        <v>47</v>
      </c>
      <c r="V56" s="6">
        <v>395</v>
      </c>
      <c r="W56" s="6">
        <v>150</v>
      </c>
      <c r="X56" s="6">
        <v>60</v>
      </c>
      <c r="Y56" s="6">
        <v>28</v>
      </c>
      <c r="Z56" s="10">
        <v>0.04</v>
      </c>
      <c r="AA56" s="11" t="s">
        <v>56</v>
      </c>
      <c r="AB56" s="3" t="s">
        <v>57</v>
      </c>
      <c r="AC56" s="3"/>
      <c r="AD56" s="3" t="s">
        <v>58</v>
      </c>
      <c r="AE56" s="11" t="s">
        <v>346</v>
      </c>
    </row>
    <row r="57" spans="1:31" x14ac:dyDescent="0.25">
      <c r="A57" s="2" t="s">
        <v>347</v>
      </c>
      <c r="B57" s="3" t="s">
        <v>34</v>
      </c>
      <c r="C57" s="3" t="s">
        <v>35</v>
      </c>
      <c r="D57" s="4" t="s">
        <v>44</v>
      </c>
      <c r="E57" s="3" t="s">
        <v>90</v>
      </c>
      <c r="F57" s="3" t="s">
        <v>348</v>
      </c>
      <c r="G57" s="4" t="s">
        <v>349</v>
      </c>
      <c r="H57" s="3" t="s">
        <v>39</v>
      </c>
      <c r="I57" s="5">
        <v>45.6312</v>
      </c>
      <c r="J57" s="5">
        <v>6.8461999999999996</v>
      </c>
      <c r="K57" s="6">
        <v>1817</v>
      </c>
      <c r="L57" s="3" t="s">
        <v>350</v>
      </c>
      <c r="M57" s="7">
        <v>888</v>
      </c>
      <c r="N57" s="7">
        <v>2807</v>
      </c>
      <c r="O57" s="7">
        <f t="shared" si="0"/>
        <v>1919</v>
      </c>
      <c r="P57" s="7">
        <v>2046</v>
      </c>
      <c r="Q57" s="8">
        <v>0.56799999999999995</v>
      </c>
      <c r="R57" s="9">
        <v>153.69999999999999</v>
      </c>
      <c r="S57" s="6">
        <v>221</v>
      </c>
      <c r="T57" s="6">
        <v>29</v>
      </c>
      <c r="U57" s="6">
        <v>44</v>
      </c>
      <c r="V57" s="6">
        <v>82</v>
      </c>
      <c r="W57" s="6">
        <v>65</v>
      </c>
      <c r="X57" s="6">
        <v>13</v>
      </c>
      <c r="Y57" s="6">
        <v>17</v>
      </c>
      <c r="Z57" s="10">
        <v>0.08</v>
      </c>
      <c r="AA57" s="11" t="s">
        <v>351</v>
      </c>
      <c r="AB57" s="3" t="s">
        <v>103</v>
      </c>
      <c r="AC57" s="11" t="s">
        <v>352</v>
      </c>
      <c r="AD57" s="3" t="s">
        <v>353</v>
      </c>
      <c r="AE57" s="11" t="s">
        <v>354</v>
      </c>
    </row>
    <row r="58" spans="1:31" x14ac:dyDescent="0.25">
      <c r="A58" s="2" t="s">
        <v>355</v>
      </c>
      <c r="B58" s="3" t="s">
        <v>34</v>
      </c>
      <c r="C58" s="3" t="s">
        <v>35</v>
      </c>
      <c r="D58" s="4" t="s">
        <v>44</v>
      </c>
      <c r="E58" s="3" t="s">
        <v>242</v>
      </c>
      <c r="F58" s="3" t="s">
        <v>241</v>
      </c>
      <c r="G58" s="4" t="s">
        <v>243</v>
      </c>
      <c r="H58" s="3" t="s">
        <v>39</v>
      </c>
      <c r="I58" s="5">
        <v>45.430880000000002</v>
      </c>
      <c r="J58" s="5">
        <v>6.5960700000000001</v>
      </c>
      <c r="K58" s="6">
        <v>1375</v>
      </c>
      <c r="L58" s="3" t="s">
        <v>174</v>
      </c>
      <c r="M58" s="7">
        <v>1110</v>
      </c>
      <c r="N58" s="7">
        <v>3223</v>
      </c>
      <c r="O58" s="7">
        <f t="shared" si="0"/>
        <v>2113</v>
      </c>
      <c r="P58" s="7">
        <v>2252</v>
      </c>
      <c r="Q58" s="8">
        <v>0.72799999999999998</v>
      </c>
      <c r="R58" s="9">
        <v>771.4</v>
      </c>
      <c r="S58" s="6">
        <v>871</v>
      </c>
      <c r="T58" s="6">
        <v>142</v>
      </c>
      <c r="U58" s="6">
        <v>168</v>
      </c>
      <c r="V58" s="6">
        <v>422</v>
      </c>
      <c r="W58" s="6">
        <v>222</v>
      </c>
      <c r="X58" s="6">
        <v>55</v>
      </c>
      <c r="Y58" s="6">
        <v>4</v>
      </c>
      <c r="Z58" s="10">
        <v>0.08</v>
      </c>
      <c r="AA58" s="11" t="s">
        <v>244</v>
      </c>
      <c r="AB58" s="3" t="s">
        <v>103</v>
      </c>
      <c r="AC58" s="3"/>
      <c r="AD58" s="3" t="s">
        <v>177</v>
      </c>
      <c r="AE58" s="3"/>
    </row>
    <row r="59" spans="1:31" x14ac:dyDescent="0.25">
      <c r="A59" s="2" t="s">
        <v>356</v>
      </c>
      <c r="B59" s="3" t="s">
        <v>34</v>
      </c>
      <c r="C59" s="3" t="s">
        <v>35</v>
      </c>
      <c r="D59" s="4" t="s">
        <v>44</v>
      </c>
      <c r="E59" s="3" t="s">
        <v>60</v>
      </c>
      <c r="F59" s="3" t="s">
        <v>357</v>
      </c>
      <c r="G59" s="4" t="s">
        <v>358</v>
      </c>
      <c r="H59" s="3" t="s">
        <v>39</v>
      </c>
      <c r="I59" s="5">
        <v>45.253639999999997</v>
      </c>
      <c r="J59" s="5">
        <v>6.2612100000000002</v>
      </c>
      <c r="K59" s="6">
        <v>1692</v>
      </c>
      <c r="L59" s="3" t="s">
        <v>359</v>
      </c>
      <c r="M59" s="7">
        <v>1276</v>
      </c>
      <c r="N59" s="7">
        <v>2588</v>
      </c>
      <c r="O59" s="7">
        <f t="shared" si="0"/>
        <v>1312</v>
      </c>
      <c r="P59" s="7">
        <v>1940</v>
      </c>
      <c r="Q59" s="8">
        <v>0.42499999999999999</v>
      </c>
      <c r="R59" s="9">
        <v>153.19999999999999</v>
      </c>
      <c r="S59" s="6">
        <v>231</v>
      </c>
      <c r="T59" s="6">
        <v>65</v>
      </c>
      <c r="U59" s="6">
        <v>58</v>
      </c>
      <c r="V59" s="6">
        <v>99</v>
      </c>
      <c r="W59" s="6">
        <v>50</v>
      </c>
      <c r="X59" s="6">
        <v>18</v>
      </c>
      <c r="Y59" s="6">
        <v>6</v>
      </c>
      <c r="Z59" s="10">
        <v>0.05</v>
      </c>
      <c r="AA59" s="11" t="s">
        <v>360</v>
      </c>
      <c r="AB59" s="3" t="s">
        <v>85</v>
      </c>
      <c r="AC59" s="3"/>
      <c r="AD59" s="3" t="s">
        <v>361</v>
      </c>
      <c r="AE59" s="11" t="s">
        <v>362</v>
      </c>
    </row>
    <row r="60" spans="1:31" x14ac:dyDescent="0.25">
      <c r="A60" s="2" t="s">
        <v>363</v>
      </c>
      <c r="B60" s="3" t="s">
        <v>34</v>
      </c>
      <c r="C60" s="3" t="s">
        <v>35</v>
      </c>
      <c r="D60" s="4" t="s">
        <v>68</v>
      </c>
      <c r="E60" s="3" t="s">
        <v>364</v>
      </c>
      <c r="F60" s="3" t="s">
        <v>365</v>
      </c>
      <c r="G60" s="4" t="s">
        <v>366</v>
      </c>
      <c r="H60" s="3" t="s">
        <v>39</v>
      </c>
      <c r="I60" s="5">
        <v>45.112882399999997</v>
      </c>
      <c r="J60" s="5">
        <v>5.6090364700000004</v>
      </c>
      <c r="K60" s="6">
        <v>1415</v>
      </c>
      <c r="L60" s="3" t="s">
        <v>367</v>
      </c>
      <c r="M60" s="7">
        <v>1372</v>
      </c>
      <c r="N60" s="7">
        <v>1789</v>
      </c>
      <c r="O60" s="7">
        <f t="shared" si="0"/>
        <v>417</v>
      </c>
      <c r="P60" s="7">
        <v>1505</v>
      </c>
      <c r="Q60" s="8">
        <v>0</v>
      </c>
      <c r="R60" s="9">
        <v>23</v>
      </c>
      <c r="S60" s="6">
        <v>49</v>
      </c>
      <c r="T60" s="6">
        <v>12</v>
      </c>
      <c r="U60" s="6">
        <v>11</v>
      </c>
      <c r="V60" s="6">
        <v>23</v>
      </c>
      <c r="W60" s="6">
        <v>9</v>
      </c>
      <c r="X60" s="6">
        <v>1</v>
      </c>
      <c r="Y60" s="6">
        <v>5</v>
      </c>
      <c r="Z60" s="10">
        <v>0.1</v>
      </c>
      <c r="AA60" s="11" t="s">
        <v>368</v>
      </c>
      <c r="AB60" s="3" t="s">
        <v>149</v>
      </c>
      <c r="AC60" s="3"/>
      <c r="AD60" s="3" t="s">
        <v>369</v>
      </c>
      <c r="AE60" s="11" t="s">
        <v>370</v>
      </c>
    </row>
    <row r="61" spans="1:31" x14ac:dyDescent="0.25">
      <c r="A61" s="2" t="s">
        <v>371</v>
      </c>
      <c r="B61" s="3" t="s">
        <v>158</v>
      </c>
      <c r="C61" s="3" t="s">
        <v>35</v>
      </c>
      <c r="D61" s="4" t="s">
        <v>44</v>
      </c>
      <c r="E61" s="3" t="s">
        <v>154</v>
      </c>
      <c r="F61" s="3" t="s">
        <v>372</v>
      </c>
      <c r="G61" s="4" t="s">
        <v>373</v>
      </c>
      <c r="H61" s="3" t="s">
        <v>39</v>
      </c>
      <c r="I61" s="5">
        <v>45.250990000000002</v>
      </c>
      <c r="J61" s="5">
        <v>6.9325200000000002</v>
      </c>
      <c r="K61" s="6">
        <v>2243</v>
      </c>
      <c r="L61" s="3" t="s">
        <v>124</v>
      </c>
      <c r="M61" s="7">
        <v>1306</v>
      </c>
      <c r="N61" s="7">
        <v>2952</v>
      </c>
      <c r="O61" s="7">
        <f t="shared" si="0"/>
        <v>1646</v>
      </c>
      <c r="P61" s="7">
        <v>2087</v>
      </c>
      <c r="Q61" s="8">
        <v>0.55700000000000005</v>
      </c>
      <c r="R61" s="9">
        <v>255.4</v>
      </c>
      <c r="S61" s="6">
        <v>402</v>
      </c>
      <c r="T61" s="6">
        <v>79</v>
      </c>
      <c r="U61" s="6">
        <v>108</v>
      </c>
      <c r="V61" s="6">
        <v>136</v>
      </c>
      <c r="W61" s="6">
        <v>112</v>
      </c>
      <c r="X61" s="6">
        <v>20</v>
      </c>
      <c r="Y61" s="6">
        <v>26</v>
      </c>
      <c r="Z61" s="10">
        <v>1.03</v>
      </c>
      <c r="AA61" s="11" t="s">
        <v>374</v>
      </c>
      <c r="AB61" s="3" t="s">
        <v>85</v>
      </c>
      <c r="AC61" s="3"/>
      <c r="AD61" s="3" t="s">
        <v>127</v>
      </c>
      <c r="AE61" s="3"/>
    </row>
    <row r="62" spans="1:31" x14ac:dyDescent="0.25">
      <c r="A62" s="2" t="s">
        <v>375</v>
      </c>
      <c r="B62" s="3" t="s">
        <v>158</v>
      </c>
      <c r="C62" s="3" t="s">
        <v>35</v>
      </c>
      <c r="D62" s="4" t="s">
        <v>44</v>
      </c>
      <c r="E62" s="3" t="s">
        <v>154</v>
      </c>
      <c r="F62" s="3" t="s">
        <v>372</v>
      </c>
      <c r="G62" s="4" t="s">
        <v>373</v>
      </c>
      <c r="H62" s="3" t="s">
        <v>39</v>
      </c>
      <c r="I62" s="5">
        <v>45.298909999999999</v>
      </c>
      <c r="J62" s="5">
        <v>6.9292899999999999</v>
      </c>
      <c r="K62" s="6">
        <v>1760</v>
      </c>
      <c r="L62" s="3" t="s">
        <v>124</v>
      </c>
      <c r="M62" s="7">
        <v>1306</v>
      </c>
      <c r="N62" s="7">
        <v>2952</v>
      </c>
      <c r="O62" s="7">
        <f t="shared" si="0"/>
        <v>1646</v>
      </c>
      <c r="P62" s="7">
        <v>2087</v>
      </c>
      <c r="Q62" s="8">
        <v>0.55700000000000005</v>
      </c>
      <c r="R62" s="9">
        <v>255.4</v>
      </c>
      <c r="S62" s="6">
        <v>402</v>
      </c>
      <c r="T62" s="6">
        <v>79</v>
      </c>
      <c r="U62" s="6">
        <v>108</v>
      </c>
      <c r="V62" s="6">
        <v>136</v>
      </c>
      <c r="W62" s="6">
        <v>112</v>
      </c>
      <c r="X62" s="6">
        <v>20</v>
      </c>
      <c r="Y62" s="6">
        <v>26</v>
      </c>
      <c r="Z62" s="10">
        <v>1.0900000000000001</v>
      </c>
      <c r="AA62" s="11" t="s">
        <v>374</v>
      </c>
      <c r="AB62" s="3" t="s">
        <v>85</v>
      </c>
      <c r="AC62" s="3"/>
      <c r="AD62" s="3" t="s">
        <v>127</v>
      </c>
      <c r="AE62" s="3"/>
    </row>
    <row r="63" spans="1:31" x14ac:dyDescent="0.25">
      <c r="A63" s="2" t="s">
        <v>376</v>
      </c>
      <c r="B63" s="3" t="s">
        <v>34</v>
      </c>
      <c r="C63" s="3" t="s">
        <v>35</v>
      </c>
      <c r="D63" s="4" t="s">
        <v>68</v>
      </c>
      <c r="E63" s="3" t="s">
        <v>377</v>
      </c>
      <c r="F63" s="3" t="s">
        <v>378</v>
      </c>
      <c r="G63" s="4" t="s">
        <v>379</v>
      </c>
      <c r="H63" s="3" t="s">
        <v>39</v>
      </c>
      <c r="I63" s="5">
        <v>45.397689999999997</v>
      </c>
      <c r="J63" s="5">
        <v>6.0853400000000004</v>
      </c>
      <c r="K63" s="6">
        <v>665</v>
      </c>
      <c r="L63" s="3" t="s">
        <v>380</v>
      </c>
      <c r="M63" s="7">
        <v>1421</v>
      </c>
      <c r="N63" s="7">
        <v>2086</v>
      </c>
      <c r="O63" s="7">
        <f t="shared" si="0"/>
        <v>665</v>
      </c>
      <c r="P63" s="7">
        <v>1669</v>
      </c>
      <c r="Q63" s="8">
        <v>3.7999999999999999E-2</v>
      </c>
      <c r="R63" s="9">
        <v>24.3</v>
      </c>
      <c r="S63" s="6">
        <v>51</v>
      </c>
      <c r="T63" s="6">
        <v>10</v>
      </c>
      <c r="U63" s="6">
        <v>15</v>
      </c>
      <c r="V63" s="6">
        <v>16</v>
      </c>
      <c r="W63" s="6">
        <v>15</v>
      </c>
      <c r="X63" s="6">
        <v>4</v>
      </c>
      <c r="Y63" s="6">
        <v>1</v>
      </c>
      <c r="Z63" s="10">
        <v>1.88</v>
      </c>
      <c r="AA63" s="3"/>
      <c r="AB63" s="3"/>
      <c r="AC63" s="3"/>
      <c r="AD63" s="3" t="s">
        <v>381</v>
      </c>
      <c r="AE63" s="11" t="s">
        <v>382</v>
      </c>
    </row>
    <row r="64" spans="1:31" x14ac:dyDescent="0.25">
      <c r="A64" s="2" t="s">
        <v>383</v>
      </c>
      <c r="B64" s="3" t="s">
        <v>158</v>
      </c>
      <c r="C64" s="3" t="s">
        <v>35</v>
      </c>
      <c r="D64" s="4" t="s">
        <v>36</v>
      </c>
      <c r="E64" s="3" t="s">
        <v>384</v>
      </c>
      <c r="F64" s="3" t="s">
        <v>385</v>
      </c>
      <c r="G64" s="4" t="s">
        <v>386</v>
      </c>
      <c r="H64" s="3" t="s">
        <v>39</v>
      </c>
      <c r="I64" s="5">
        <v>45.873730000000002</v>
      </c>
      <c r="J64" s="5">
        <v>6.6867999999999999</v>
      </c>
      <c r="K64" s="6">
        <v>1395</v>
      </c>
      <c r="L64" s="3" t="s">
        <v>387</v>
      </c>
      <c r="M64" s="7">
        <v>820</v>
      </c>
      <c r="N64" s="7">
        <v>2373</v>
      </c>
      <c r="O64" s="7">
        <f t="shared" ref="O65:O128" si="1">IF(OR(M65="",N65=""),"",N65-M65)</f>
        <v>1553</v>
      </c>
      <c r="P64" s="7">
        <v>1650</v>
      </c>
      <c r="Q64" s="8">
        <v>4.3999999999999997E-2</v>
      </c>
      <c r="R64" s="9">
        <v>159.5</v>
      </c>
      <c r="S64" s="6">
        <v>245</v>
      </c>
      <c r="T64" s="6">
        <v>61</v>
      </c>
      <c r="U64" s="6">
        <v>54</v>
      </c>
      <c r="V64" s="6">
        <v>66</v>
      </c>
      <c r="W64" s="6">
        <v>85</v>
      </c>
      <c r="X64" s="6">
        <v>28</v>
      </c>
      <c r="Y64" s="6">
        <v>12</v>
      </c>
      <c r="Z64" s="10">
        <v>0.02</v>
      </c>
      <c r="AA64" s="3"/>
      <c r="AB64" s="3"/>
      <c r="AC64" s="3"/>
      <c r="AD64" s="3" t="s">
        <v>388</v>
      </c>
      <c r="AE64" s="3"/>
    </row>
    <row r="65" spans="1:31" x14ac:dyDescent="0.25">
      <c r="A65" s="2" t="s">
        <v>389</v>
      </c>
      <c r="B65" s="3" t="s">
        <v>34</v>
      </c>
      <c r="C65" s="3" t="s">
        <v>35</v>
      </c>
      <c r="D65" s="4" t="s">
        <v>36</v>
      </c>
      <c r="E65" s="3" t="s">
        <v>390</v>
      </c>
      <c r="F65" s="3" t="s">
        <v>391</v>
      </c>
      <c r="G65" s="4" t="s">
        <v>392</v>
      </c>
      <c r="H65" s="3" t="s">
        <v>39</v>
      </c>
      <c r="I65" s="5">
        <v>45.97354</v>
      </c>
      <c r="J65" s="5">
        <v>6.4552399999999999</v>
      </c>
      <c r="K65" s="6">
        <v>1267</v>
      </c>
      <c r="L65" s="3" t="s">
        <v>391</v>
      </c>
      <c r="M65" s="7">
        <v>930</v>
      </c>
      <c r="N65" s="7">
        <v>2028</v>
      </c>
      <c r="O65" s="7">
        <f t="shared" si="1"/>
        <v>1098</v>
      </c>
      <c r="P65" s="7">
        <v>1510</v>
      </c>
      <c r="Q65" s="8">
        <v>8.0000000000000002E-3</v>
      </c>
      <c r="R65" s="9">
        <v>59.3</v>
      </c>
      <c r="S65" s="6">
        <v>121</v>
      </c>
      <c r="T65" s="6">
        <v>26</v>
      </c>
      <c r="U65" s="6">
        <v>46</v>
      </c>
      <c r="V65" s="6">
        <v>47</v>
      </c>
      <c r="W65" s="6">
        <v>18</v>
      </c>
      <c r="X65" s="6">
        <v>5</v>
      </c>
      <c r="Y65" s="6">
        <v>5</v>
      </c>
      <c r="Z65" s="10">
        <v>0.09</v>
      </c>
      <c r="AA65" s="11" t="s">
        <v>393</v>
      </c>
      <c r="AB65" s="3"/>
      <c r="AC65" s="3"/>
      <c r="AD65" s="3" t="s">
        <v>394</v>
      </c>
      <c r="AE65" s="3"/>
    </row>
    <row r="66" spans="1:31" x14ac:dyDescent="0.25">
      <c r="A66" s="2" t="s">
        <v>395</v>
      </c>
      <c r="B66" s="3" t="s">
        <v>34</v>
      </c>
      <c r="C66" s="3" t="s">
        <v>35</v>
      </c>
      <c r="D66" s="4" t="s">
        <v>68</v>
      </c>
      <c r="E66" s="3" t="s">
        <v>396</v>
      </c>
      <c r="F66" s="3" t="s">
        <v>397</v>
      </c>
      <c r="G66" s="4" t="s">
        <v>398</v>
      </c>
      <c r="H66" s="3" t="s">
        <v>39</v>
      </c>
      <c r="I66" s="5">
        <v>45.3559482</v>
      </c>
      <c r="J66" s="5">
        <v>5.9190148699999998</v>
      </c>
      <c r="K66" s="6">
        <v>1067</v>
      </c>
      <c r="L66" s="3" t="s">
        <v>399</v>
      </c>
      <c r="M66" s="7">
        <v>1021</v>
      </c>
      <c r="N66" s="7">
        <v>1273</v>
      </c>
      <c r="O66" s="7">
        <f t="shared" si="1"/>
        <v>252</v>
      </c>
      <c r="P66" s="7">
        <v>1094</v>
      </c>
      <c r="Q66" s="8">
        <v>0</v>
      </c>
      <c r="R66" s="9">
        <v>2.9</v>
      </c>
      <c r="S66" s="6">
        <v>9</v>
      </c>
      <c r="T66" s="6">
        <v>3</v>
      </c>
      <c r="U66" s="6">
        <v>3</v>
      </c>
      <c r="V66" s="6">
        <v>4</v>
      </c>
      <c r="W66" s="6">
        <v>2</v>
      </c>
      <c r="X66" s="6"/>
      <c r="Y66" s="6"/>
      <c r="Z66" s="10">
        <v>0.06</v>
      </c>
      <c r="AA66" s="11" t="s">
        <v>400</v>
      </c>
      <c r="AB66" s="3"/>
      <c r="AC66" s="3"/>
      <c r="AD66" s="3" t="s">
        <v>401</v>
      </c>
      <c r="AE66" s="11" t="s">
        <v>402</v>
      </c>
    </row>
    <row r="67" spans="1:31" x14ac:dyDescent="0.25">
      <c r="A67" s="2" t="s">
        <v>403</v>
      </c>
      <c r="B67" s="3" t="s">
        <v>34</v>
      </c>
      <c r="C67" s="3" t="s">
        <v>35</v>
      </c>
      <c r="D67" s="4" t="s">
        <v>68</v>
      </c>
      <c r="E67" s="3" t="s">
        <v>377</v>
      </c>
      <c r="F67" s="3" t="s">
        <v>378</v>
      </c>
      <c r="G67" s="4" t="s">
        <v>379</v>
      </c>
      <c r="H67" s="3" t="s">
        <v>39</v>
      </c>
      <c r="I67" s="5">
        <v>45.395198100000002</v>
      </c>
      <c r="J67" s="5">
        <v>6.1101598099999999</v>
      </c>
      <c r="K67" s="6">
        <v>1455</v>
      </c>
      <c r="L67" s="3" t="s">
        <v>380</v>
      </c>
      <c r="M67" s="7">
        <v>1421</v>
      </c>
      <c r="N67" s="7">
        <v>2086</v>
      </c>
      <c r="O67" s="7">
        <f t="shared" si="1"/>
        <v>665</v>
      </c>
      <c r="P67" s="7">
        <v>1669</v>
      </c>
      <c r="Q67" s="8">
        <v>3.7999999999999999E-2</v>
      </c>
      <c r="R67" s="9">
        <v>24.3</v>
      </c>
      <c r="S67" s="6">
        <v>51</v>
      </c>
      <c r="T67" s="6">
        <v>10</v>
      </c>
      <c r="U67" s="6">
        <v>15</v>
      </c>
      <c r="V67" s="6">
        <v>16</v>
      </c>
      <c r="W67" s="6">
        <v>15</v>
      </c>
      <c r="X67" s="6">
        <v>4</v>
      </c>
      <c r="Y67" s="6">
        <v>1</v>
      </c>
      <c r="Z67" s="10">
        <v>0.08</v>
      </c>
      <c r="AA67" s="11" t="s">
        <v>404</v>
      </c>
      <c r="AB67" s="3" t="s">
        <v>103</v>
      </c>
      <c r="AC67" s="3"/>
      <c r="AD67" s="3" t="s">
        <v>381</v>
      </c>
      <c r="AE67" s="11" t="s">
        <v>405</v>
      </c>
    </row>
    <row r="68" spans="1:31" x14ac:dyDescent="0.25">
      <c r="A68" s="2" t="s">
        <v>406</v>
      </c>
      <c r="B68" s="3" t="s">
        <v>34</v>
      </c>
      <c r="C68" s="3" t="s">
        <v>35</v>
      </c>
      <c r="D68" s="4" t="s">
        <v>44</v>
      </c>
      <c r="E68" s="3" t="s">
        <v>60</v>
      </c>
      <c r="F68" s="3" t="s">
        <v>407</v>
      </c>
      <c r="G68" s="4" t="s">
        <v>408</v>
      </c>
      <c r="H68" s="3" t="s">
        <v>39</v>
      </c>
      <c r="I68" s="5">
        <v>45.239662000000003</v>
      </c>
      <c r="J68" s="5">
        <v>6.2682139799999996</v>
      </c>
      <c r="K68" s="6">
        <v>1563</v>
      </c>
      <c r="L68" s="3" t="s">
        <v>359</v>
      </c>
      <c r="M68" s="7">
        <v>1276</v>
      </c>
      <c r="N68" s="7">
        <v>2588</v>
      </c>
      <c r="O68" s="7">
        <f t="shared" si="1"/>
        <v>1312</v>
      </c>
      <c r="P68" s="7">
        <v>1940</v>
      </c>
      <c r="Q68" s="8">
        <v>0.42499999999999999</v>
      </c>
      <c r="R68" s="9">
        <v>153.19999999999999</v>
      </c>
      <c r="S68" s="6">
        <v>231</v>
      </c>
      <c r="T68" s="6">
        <v>65</v>
      </c>
      <c r="U68" s="6">
        <v>58</v>
      </c>
      <c r="V68" s="6">
        <v>99</v>
      </c>
      <c r="W68" s="6">
        <v>50</v>
      </c>
      <c r="X68" s="6">
        <v>18</v>
      </c>
      <c r="Y68" s="6">
        <v>6</v>
      </c>
      <c r="Z68" s="10">
        <v>0.02</v>
      </c>
      <c r="AA68" s="11" t="s">
        <v>409</v>
      </c>
      <c r="AB68" s="3" t="s">
        <v>103</v>
      </c>
      <c r="AC68" s="11" t="s">
        <v>410</v>
      </c>
      <c r="AD68" s="3" t="s">
        <v>361</v>
      </c>
      <c r="AE68" s="11" t="s">
        <v>411</v>
      </c>
    </row>
    <row r="69" spans="1:31" x14ac:dyDescent="0.25">
      <c r="A69" s="2" t="s">
        <v>412</v>
      </c>
      <c r="B69" s="3" t="s">
        <v>34</v>
      </c>
      <c r="C69" s="3" t="s">
        <v>35</v>
      </c>
      <c r="D69" s="4" t="s">
        <v>44</v>
      </c>
      <c r="E69" s="3" t="s">
        <v>144</v>
      </c>
      <c r="F69" s="3" t="s">
        <v>318</v>
      </c>
      <c r="G69" s="4" t="s">
        <v>319</v>
      </c>
      <c r="H69" s="3" t="s">
        <v>39</v>
      </c>
      <c r="I69" s="5">
        <v>45.449959999999997</v>
      </c>
      <c r="J69" s="5">
        <v>7.0105700000000004</v>
      </c>
      <c r="K69" s="6">
        <v>1932</v>
      </c>
      <c r="L69" s="3" t="s">
        <v>320</v>
      </c>
      <c r="M69" s="7">
        <v>1559</v>
      </c>
      <c r="N69" s="7">
        <v>3456</v>
      </c>
      <c r="O69" s="7">
        <f t="shared" si="1"/>
        <v>1897</v>
      </c>
      <c r="P69" s="7">
        <v>2479</v>
      </c>
      <c r="Q69" s="8">
        <v>0.92500000000000004</v>
      </c>
      <c r="R69" s="9">
        <v>341.5</v>
      </c>
      <c r="S69" s="6">
        <v>415</v>
      </c>
      <c r="T69" s="6">
        <v>84</v>
      </c>
      <c r="U69" s="6">
        <v>68</v>
      </c>
      <c r="V69" s="6">
        <v>195</v>
      </c>
      <c r="W69" s="6">
        <v>111</v>
      </c>
      <c r="X69" s="6">
        <v>30</v>
      </c>
      <c r="Y69" s="6">
        <v>11</v>
      </c>
      <c r="Z69" s="10">
        <v>0.18</v>
      </c>
      <c r="AA69" s="11" t="s">
        <v>321</v>
      </c>
      <c r="AB69" s="3" t="s">
        <v>103</v>
      </c>
      <c r="AC69" s="3"/>
      <c r="AD69" s="3" t="s">
        <v>322</v>
      </c>
      <c r="AE69" s="3"/>
    </row>
    <row r="70" spans="1:31" x14ac:dyDescent="0.25">
      <c r="A70" s="2" t="s">
        <v>391</v>
      </c>
      <c r="B70" s="3" t="s">
        <v>34</v>
      </c>
      <c r="C70" s="3" t="s">
        <v>35</v>
      </c>
      <c r="D70" s="4" t="s">
        <v>36</v>
      </c>
      <c r="E70" s="3" t="s">
        <v>390</v>
      </c>
      <c r="F70" s="3" t="s">
        <v>391</v>
      </c>
      <c r="G70" s="4" t="s">
        <v>392</v>
      </c>
      <c r="H70" s="3" t="s">
        <v>39</v>
      </c>
      <c r="I70" s="5">
        <v>45.943300000000001</v>
      </c>
      <c r="J70" s="5">
        <v>6.4257999999999997</v>
      </c>
      <c r="K70" s="6">
        <v>963</v>
      </c>
      <c r="L70" s="3" t="s">
        <v>391</v>
      </c>
      <c r="M70" s="7">
        <v>930</v>
      </c>
      <c r="N70" s="7">
        <v>2028</v>
      </c>
      <c r="O70" s="7">
        <f t="shared" si="1"/>
        <v>1098</v>
      </c>
      <c r="P70" s="7">
        <v>1510</v>
      </c>
      <c r="Q70" s="8">
        <v>8.0000000000000002E-3</v>
      </c>
      <c r="R70" s="9">
        <v>59.3</v>
      </c>
      <c r="S70" s="6">
        <v>121</v>
      </c>
      <c r="T70" s="6">
        <v>26</v>
      </c>
      <c r="U70" s="6">
        <v>46</v>
      </c>
      <c r="V70" s="6">
        <v>47</v>
      </c>
      <c r="W70" s="6">
        <v>18</v>
      </c>
      <c r="X70" s="6">
        <v>5</v>
      </c>
      <c r="Y70" s="6">
        <v>5</v>
      </c>
      <c r="Z70" s="10">
        <v>0.73</v>
      </c>
      <c r="AA70" s="11" t="s">
        <v>393</v>
      </c>
      <c r="AB70" s="3"/>
      <c r="AC70" s="11" t="s">
        <v>413</v>
      </c>
      <c r="AD70" s="3" t="s">
        <v>394</v>
      </c>
      <c r="AE70" s="11" t="s">
        <v>414</v>
      </c>
    </row>
    <row r="71" spans="1:31" x14ac:dyDescent="0.25">
      <c r="A71" s="2" t="s">
        <v>415</v>
      </c>
      <c r="B71" s="3" t="s">
        <v>34</v>
      </c>
      <c r="C71" s="3" t="s">
        <v>35</v>
      </c>
      <c r="D71" s="4" t="s">
        <v>68</v>
      </c>
      <c r="E71" s="3" t="s">
        <v>416</v>
      </c>
      <c r="F71" s="3" t="s">
        <v>417</v>
      </c>
      <c r="G71" s="4" t="s">
        <v>418</v>
      </c>
      <c r="H71" s="3" t="s">
        <v>419</v>
      </c>
      <c r="I71" s="5">
        <v>45.389749999999999</v>
      </c>
      <c r="J71" s="5">
        <v>5.8454300000000003</v>
      </c>
      <c r="K71" s="6">
        <v>933</v>
      </c>
      <c r="L71" s="3" t="s">
        <v>420</v>
      </c>
      <c r="M71" s="7">
        <v>1083</v>
      </c>
      <c r="N71" s="7">
        <v>1746</v>
      </c>
      <c r="O71" s="7">
        <f t="shared" si="1"/>
        <v>663</v>
      </c>
      <c r="P71" s="7">
        <v>1332</v>
      </c>
      <c r="Q71" s="8">
        <v>0</v>
      </c>
      <c r="R71" s="9">
        <v>7.2</v>
      </c>
      <c r="S71" s="6">
        <v>15</v>
      </c>
      <c r="T71" s="6">
        <v>10</v>
      </c>
      <c r="U71" s="6">
        <v>7</v>
      </c>
      <c r="V71" s="6">
        <v>5</v>
      </c>
      <c r="W71" s="6">
        <v>3</v>
      </c>
      <c r="X71" s="6"/>
      <c r="Y71" s="6"/>
      <c r="Z71" s="10">
        <v>2.39</v>
      </c>
      <c r="AA71" s="3"/>
      <c r="AB71" s="3"/>
      <c r="AC71" s="3"/>
      <c r="AD71" s="3" t="s">
        <v>421</v>
      </c>
      <c r="AE71" s="11" t="s">
        <v>422</v>
      </c>
    </row>
    <row r="72" spans="1:31" x14ac:dyDescent="0.25">
      <c r="A72" s="2" t="s">
        <v>423</v>
      </c>
      <c r="B72" s="3" t="s">
        <v>34</v>
      </c>
      <c r="C72" s="3" t="s">
        <v>35</v>
      </c>
      <c r="D72" s="4" t="s">
        <v>68</v>
      </c>
      <c r="E72" s="3" t="s">
        <v>416</v>
      </c>
      <c r="F72" s="3" t="s">
        <v>417</v>
      </c>
      <c r="G72" s="4" t="s">
        <v>418</v>
      </c>
      <c r="H72" s="3" t="s">
        <v>424</v>
      </c>
      <c r="I72" s="5">
        <v>45.396453000000001</v>
      </c>
      <c r="J72" s="5">
        <v>5.8438759999999998</v>
      </c>
      <c r="K72" s="6">
        <v>882</v>
      </c>
      <c r="L72" s="3" t="s">
        <v>420</v>
      </c>
      <c r="M72" s="7">
        <v>1083</v>
      </c>
      <c r="N72" s="7">
        <v>1746</v>
      </c>
      <c r="O72" s="7">
        <f t="shared" si="1"/>
        <v>663</v>
      </c>
      <c r="P72" s="7">
        <v>1332</v>
      </c>
      <c r="Q72" s="8">
        <v>0</v>
      </c>
      <c r="R72" s="9">
        <v>7.2</v>
      </c>
      <c r="S72" s="6">
        <v>15</v>
      </c>
      <c r="T72" s="6">
        <v>10</v>
      </c>
      <c r="U72" s="6">
        <v>7</v>
      </c>
      <c r="V72" s="6">
        <v>5</v>
      </c>
      <c r="W72" s="6">
        <v>3</v>
      </c>
      <c r="X72" s="6"/>
      <c r="Y72" s="6"/>
      <c r="Z72" s="10">
        <v>3.11</v>
      </c>
      <c r="AA72" s="3"/>
      <c r="AB72" s="3"/>
      <c r="AC72" s="3"/>
      <c r="AD72" s="3" t="s">
        <v>421</v>
      </c>
      <c r="AE72" s="11" t="s">
        <v>425</v>
      </c>
    </row>
    <row r="73" spans="1:31" x14ac:dyDescent="0.25">
      <c r="A73" s="2" t="s">
        <v>426</v>
      </c>
      <c r="B73" s="3" t="s">
        <v>158</v>
      </c>
      <c r="C73" s="3" t="s">
        <v>35</v>
      </c>
      <c r="D73" s="4" t="s">
        <v>68</v>
      </c>
      <c r="E73" s="3" t="s">
        <v>377</v>
      </c>
      <c r="F73" s="3" t="s">
        <v>427</v>
      </c>
      <c r="G73" s="4" t="s">
        <v>428</v>
      </c>
      <c r="H73" s="3" t="s">
        <v>39</v>
      </c>
      <c r="I73" s="5">
        <v>45.272329999999997</v>
      </c>
      <c r="J73" s="5">
        <v>6.0555899999999996</v>
      </c>
      <c r="K73" s="6">
        <v>1443</v>
      </c>
      <c r="L73" s="3" t="s">
        <v>429</v>
      </c>
      <c r="M73" s="7">
        <v>1330</v>
      </c>
      <c r="N73" s="7">
        <v>2373</v>
      </c>
      <c r="O73" s="7">
        <f t="shared" si="1"/>
        <v>1043</v>
      </c>
      <c r="P73" s="7">
        <v>1743</v>
      </c>
      <c r="Q73" s="8">
        <v>0.16200000000000001</v>
      </c>
      <c r="R73" s="9">
        <v>53.8</v>
      </c>
      <c r="S73" s="6">
        <v>102</v>
      </c>
      <c r="T73" s="6">
        <v>23</v>
      </c>
      <c r="U73" s="6">
        <v>32</v>
      </c>
      <c r="V73" s="6">
        <v>31</v>
      </c>
      <c r="W73" s="6">
        <v>25</v>
      </c>
      <c r="X73" s="6">
        <v>12</v>
      </c>
      <c r="Y73" s="6">
        <v>2</v>
      </c>
      <c r="Z73" s="10">
        <v>0.06</v>
      </c>
      <c r="AA73" s="11" t="s">
        <v>430</v>
      </c>
      <c r="AB73" s="3" t="s">
        <v>85</v>
      </c>
      <c r="AC73" s="3"/>
      <c r="AD73" s="3" t="s">
        <v>431</v>
      </c>
      <c r="AE73" s="3"/>
    </row>
    <row r="74" spans="1:31" x14ac:dyDescent="0.25">
      <c r="A74" s="2" t="s">
        <v>432</v>
      </c>
      <c r="B74" s="3" t="s">
        <v>34</v>
      </c>
      <c r="C74" s="3" t="s">
        <v>35</v>
      </c>
      <c r="D74" s="4" t="s">
        <v>36</v>
      </c>
      <c r="E74" s="3" t="s">
        <v>433</v>
      </c>
      <c r="F74" s="3" t="s">
        <v>432</v>
      </c>
      <c r="G74" s="4" t="s">
        <v>434</v>
      </c>
      <c r="H74" s="3" t="s">
        <v>39</v>
      </c>
      <c r="I74" s="5">
        <v>46.013939999999998</v>
      </c>
      <c r="J74" s="5">
        <v>6.5326199999999996</v>
      </c>
      <c r="K74" s="6">
        <v>1086</v>
      </c>
      <c r="L74" s="3" t="s">
        <v>432</v>
      </c>
      <c r="M74" s="7">
        <v>978</v>
      </c>
      <c r="N74" s="7">
        <v>1080</v>
      </c>
      <c r="O74" s="7">
        <f t="shared" si="1"/>
        <v>102</v>
      </c>
      <c r="P74" s="7">
        <v>1008</v>
      </c>
      <c r="Q74" s="8">
        <v>0</v>
      </c>
      <c r="R74" s="9">
        <v>0.9</v>
      </c>
      <c r="S74" s="6">
        <v>8</v>
      </c>
      <c r="T74" s="6">
        <v>3</v>
      </c>
      <c r="U74" s="6">
        <v>2</v>
      </c>
      <c r="V74" s="6">
        <v>1</v>
      </c>
      <c r="W74" s="6">
        <v>1</v>
      </c>
      <c r="X74" s="6"/>
      <c r="Y74" s="6">
        <v>4</v>
      </c>
      <c r="Z74" s="10">
        <v>0.46</v>
      </c>
      <c r="AA74" s="3"/>
      <c r="AB74" s="3"/>
      <c r="AC74" s="3"/>
      <c r="AD74" s="3" t="s">
        <v>435</v>
      </c>
      <c r="AE74" s="11" t="s">
        <v>436</v>
      </c>
    </row>
    <row r="75" spans="1:31" x14ac:dyDescent="0.25">
      <c r="A75" s="2" t="s">
        <v>437</v>
      </c>
      <c r="B75" s="3" t="s">
        <v>34</v>
      </c>
      <c r="C75" s="3" t="s">
        <v>35</v>
      </c>
      <c r="D75" s="4" t="s">
        <v>36</v>
      </c>
      <c r="E75" s="3" t="s">
        <v>438</v>
      </c>
      <c r="F75" s="3" t="s">
        <v>439</v>
      </c>
      <c r="G75" s="4" t="s">
        <v>440</v>
      </c>
      <c r="H75" s="3" t="s">
        <v>39</v>
      </c>
      <c r="I75" s="5">
        <v>45.788499999999999</v>
      </c>
      <c r="J75" s="5">
        <v>6.1029999999999998</v>
      </c>
      <c r="K75" s="6">
        <v>1570</v>
      </c>
      <c r="L75" s="3" t="s">
        <v>437</v>
      </c>
      <c r="M75" s="7">
        <v>1412</v>
      </c>
      <c r="N75" s="7">
        <v>1694</v>
      </c>
      <c r="O75" s="7">
        <f t="shared" si="1"/>
        <v>282</v>
      </c>
      <c r="P75" s="7">
        <v>1570</v>
      </c>
      <c r="Q75" s="8">
        <v>0</v>
      </c>
      <c r="R75" s="9">
        <v>15.1</v>
      </c>
      <c r="S75" s="6">
        <v>24</v>
      </c>
      <c r="T75" s="6">
        <v>9</v>
      </c>
      <c r="U75" s="6">
        <v>14</v>
      </c>
      <c r="V75" s="6">
        <v>4</v>
      </c>
      <c r="W75" s="6">
        <v>6</v>
      </c>
      <c r="X75" s="6"/>
      <c r="Y75" s="6"/>
      <c r="Z75" s="10">
        <v>0.13</v>
      </c>
      <c r="AA75" s="3"/>
      <c r="AB75" s="3"/>
      <c r="AC75" s="3"/>
      <c r="AD75" s="3" t="s">
        <v>441</v>
      </c>
      <c r="AE75" s="11" t="s">
        <v>442</v>
      </c>
    </row>
    <row r="76" spans="1:31" x14ac:dyDescent="0.25">
      <c r="A76" s="2" t="s">
        <v>443</v>
      </c>
      <c r="B76" s="3" t="s">
        <v>34</v>
      </c>
      <c r="C76" s="3" t="s">
        <v>35</v>
      </c>
      <c r="D76" s="4" t="s">
        <v>36</v>
      </c>
      <c r="E76" s="3" t="s">
        <v>108</v>
      </c>
      <c r="F76" s="3" t="s">
        <v>109</v>
      </c>
      <c r="G76" s="4" t="s">
        <v>110</v>
      </c>
      <c r="H76" s="3" t="s">
        <v>39</v>
      </c>
      <c r="I76" s="5">
        <v>46.002310000000001</v>
      </c>
      <c r="J76" s="5">
        <v>6.9462299999999999</v>
      </c>
      <c r="K76" s="6">
        <v>1467</v>
      </c>
      <c r="L76" s="3" t="s">
        <v>444</v>
      </c>
      <c r="M76" s="7">
        <v>1262</v>
      </c>
      <c r="N76" s="7">
        <v>2255</v>
      </c>
      <c r="O76" s="7">
        <f t="shared" si="1"/>
        <v>993</v>
      </c>
      <c r="P76" s="7">
        <v>1960</v>
      </c>
      <c r="Q76" s="8">
        <v>0.38200000000000001</v>
      </c>
      <c r="R76" s="9">
        <v>44.1</v>
      </c>
      <c r="S76" s="6">
        <v>104</v>
      </c>
      <c r="T76" s="6">
        <v>9</v>
      </c>
      <c r="U76" s="6"/>
      <c r="V76" s="6">
        <v>28</v>
      </c>
      <c r="W76" s="6">
        <v>75</v>
      </c>
      <c r="X76" s="6">
        <v>1</v>
      </c>
      <c r="Y76" s="6"/>
      <c r="Z76" s="10">
        <v>0.1</v>
      </c>
      <c r="AA76" s="11" t="s">
        <v>181</v>
      </c>
      <c r="AB76" s="3" t="s">
        <v>57</v>
      </c>
      <c r="AC76" s="3"/>
      <c r="AD76" s="3" t="s">
        <v>445</v>
      </c>
      <c r="AE76" s="3"/>
    </row>
    <row r="77" spans="1:31" x14ac:dyDescent="0.25">
      <c r="A77" s="2" t="s">
        <v>446</v>
      </c>
      <c r="B77" s="3" t="s">
        <v>34</v>
      </c>
      <c r="C77" s="3" t="s">
        <v>35</v>
      </c>
      <c r="D77" s="4" t="s">
        <v>68</v>
      </c>
      <c r="E77" s="3" t="s">
        <v>447</v>
      </c>
      <c r="F77" s="3" t="s">
        <v>118</v>
      </c>
      <c r="G77" s="4" t="s">
        <v>448</v>
      </c>
      <c r="H77" s="3" t="s">
        <v>39</v>
      </c>
      <c r="I77" s="5">
        <v>45.006700000000002</v>
      </c>
      <c r="J77" s="5">
        <v>6.1227999999999998</v>
      </c>
      <c r="K77" s="6">
        <v>1645</v>
      </c>
      <c r="L77" s="3" t="s">
        <v>118</v>
      </c>
      <c r="M77" s="7">
        <v>1284</v>
      </c>
      <c r="N77" s="7">
        <v>3511</v>
      </c>
      <c r="O77" s="7">
        <f t="shared" si="1"/>
        <v>2227</v>
      </c>
      <c r="P77" s="7">
        <v>2500</v>
      </c>
      <c r="Q77" s="8">
        <v>0.78500000000000003</v>
      </c>
      <c r="R77" s="9">
        <v>144.5</v>
      </c>
      <c r="S77" s="6">
        <v>250</v>
      </c>
      <c r="T77" s="6">
        <v>46</v>
      </c>
      <c r="U77" s="6">
        <v>62</v>
      </c>
      <c r="V77" s="6">
        <v>137</v>
      </c>
      <c r="W77" s="6">
        <v>33</v>
      </c>
      <c r="X77" s="6">
        <v>17</v>
      </c>
      <c r="Y77" s="6">
        <v>1</v>
      </c>
      <c r="Z77" s="10">
        <v>0.16</v>
      </c>
      <c r="AA77" s="11" t="s">
        <v>449</v>
      </c>
      <c r="AB77" s="3" t="s">
        <v>103</v>
      </c>
      <c r="AC77" s="11" t="s">
        <v>450</v>
      </c>
      <c r="AD77" s="3" t="s">
        <v>119</v>
      </c>
      <c r="AE77" s="11" t="s">
        <v>451</v>
      </c>
    </row>
    <row r="78" spans="1:31" x14ac:dyDescent="0.25">
      <c r="A78" s="2" t="s">
        <v>429</v>
      </c>
      <c r="B78" s="3" t="s">
        <v>34</v>
      </c>
      <c r="C78" s="3" t="s">
        <v>35</v>
      </c>
      <c r="D78" s="4" t="s">
        <v>68</v>
      </c>
      <c r="E78" s="3" t="s">
        <v>452</v>
      </c>
      <c r="F78" s="3" t="s">
        <v>453</v>
      </c>
      <c r="G78" s="4" t="s">
        <v>454</v>
      </c>
      <c r="H78" s="3" t="s">
        <v>39</v>
      </c>
      <c r="I78" s="5">
        <v>45.256539699999998</v>
      </c>
      <c r="J78" s="5">
        <v>5.9931215</v>
      </c>
      <c r="K78" s="6">
        <v>1335</v>
      </c>
      <c r="L78" s="3" t="s">
        <v>429</v>
      </c>
      <c r="M78" s="7">
        <v>1330</v>
      </c>
      <c r="N78" s="7">
        <v>2373</v>
      </c>
      <c r="O78" s="7">
        <f t="shared" si="1"/>
        <v>1043</v>
      </c>
      <c r="P78" s="7">
        <v>1743</v>
      </c>
      <c r="Q78" s="8">
        <v>0.16200000000000001</v>
      </c>
      <c r="R78" s="9">
        <v>53.8</v>
      </c>
      <c r="S78" s="6">
        <v>102</v>
      </c>
      <c r="T78" s="6">
        <v>23</v>
      </c>
      <c r="U78" s="6">
        <v>32</v>
      </c>
      <c r="V78" s="6">
        <v>31</v>
      </c>
      <c r="W78" s="6">
        <v>25</v>
      </c>
      <c r="X78" s="6">
        <v>12</v>
      </c>
      <c r="Y78" s="6">
        <v>2</v>
      </c>
      <c r="Z78" s="10">
        <v>0.1</v>
      </c>
      <c r="AA78" s="11" t="s">
        <v>430</v>
      </c>
      <c r="AB78" s="3" t="s">
        <v>85</v>
      </c>
      <c r="AC78" s="11" t="s">
        <v>455</v>
      </c>
      <c r="AD78" s="3" t="s">
        <v>431</v>
      </c>
      <c r="AE78" s="11" t="s">
        <v>456</v>
      </c>
    </row>
    <row r="79" spans="1:31" x14ac:dyDescent="0.25">
      <c r="A79" s="2" t="s">
        <v>457</v>
      </c>
      <c r="B79" s="3" t="s">
        <v>34</v>
      </c>
      <c r="C79" s="3" t="s">
        <v>35</v>
      </c>
      <c r="D79" s="4" t="s">
        <v>44</v>
      </c>
      <c r="E79" s="3" t="s">
        <v>90</v>
      </c>
      <c r="F79" s="3" t="s">
        <v>91</v>
      </c>
      <c r="G79" s="4" t="s">
        <v>92</v>
      </c>
      <c r="H79" s="3" t="s">
        <v>39</v>
      </c>
      <c r="I79" s="5">
        <v>45.575000000000003</v>
      </c>
      <c r="J79" s="5">
        <v>6.7826000000000004</v>
      </c>
      <c r="K79" s="6">
        <v>1738</v>
      </c>
      <c r="L79" s="3" t="s">
        <v>55</v>
      </c>
      <c r="M79" s="7">
        <v>1199</v>
      </c>
      <c r="N79" s="7">
        <v>3216</v>
      </c>
      <c r="O79" s="7">
        <f t="shared" si="1"/>
        <v>2017</v>
      </c>
      <c r="P79" s="7">
        <v>2076</v>
      </c>
      <c r="Q79" s="8">
        <v>0.59799999999999998</v>
      </c>
      <c r="R79" s="9">
        <v>487.8</v>
      </c>
      <c r="S79" s="6">
        <v>680</v>
      </c>
      <c r="T79" s="6">
        <v>87</v>
      </c>
      <c r="U79" s="6">
        <v>47</v>
      </c>
      <c r="V79" s="6">
        <v>395</v>
      </c>
      <c r="W79" s="6">
        <v>150</v>
      </c>
      <c r="X79" s="6">
        <v>60</v>
      </c>
      <c r="Y79" s="6">
        <v>28</v>
      </c>
      <c r="Z79" s="10">
        <v>0.02</v>
      </c>
      <c r="AA79" s="11" t="s">
        <v>93</v>
      </c>
      <c r="AB79" s="3"/>
      <c r="AC79" s="3"/>
      <c r="AD79" s="3" t="s">
        <v>58</v>
      </c>
      <c r="AE79" s="11" t="s">
        <v>458</v>
      </c>
    </row>
    <row r="80" spans="1:31" x14ac:dyDescent="0.25">
      <c r="A80" s="2" t="s">
        <v>459</v>
      </c>
      <c r="B80" s="3" t="s">
        <v>158</v>
      </c>
      <c r="C80" s="3" t="s">
        <v>35</v>
      </c>
      <c r="D80" s="4" t="s">
        <v>44</v>
      </c>
      <c r="E80" s="3" t="s">
        <v>60</v>
      </c>
      <c r="F80" s="3" t="s">
        <v>460</v>
      </c>
      <c r="G80" s="4" t="s">
        <v>461</v>
      </c>
      <c r="H80" s="3" t="s">
        <v>39</v>
      </c>
      <c r="I80" s="5">
        <v>45.265729999999998</v>
      </c>
      <c r="J80" s="5">
        <v>6.2963899999999997</v>
      </c>
      <c r="K80" s="6">
        <v>1279</v>
      </c>
      <c r="L80" s="3" t="s">
        <v>359</v>
      </c>
      <c r="M80" s="7">
        <v>1276</v>
      </c>
      <c r="N80" s="7">
        <v>2588</v>
      </c>
      <c r="O80" s="7">
        <f t="shared" si="1"/>
        <v>1312</v>
      </c>
      <c r="P80" s="7">
        <v>1940</v>
      </c>
      <c r="Q80" s="8">
        <v>0.42499999999999999</v>
      </c>
      <c r="R80" s="9">
        <v>153.19999999999999</v>
      </c>
      <c r="S80" s="6">
        <v>231</v>
      </c>
      <c r="T80" s="6">
        <v>65</v>
      </c>
      <c r="U80" s="6">
        <v>58</v>
      </c>
      <c r="V80" s="6">
        <v>99</v>
      </c>
      <c r="W80" s="6">
        <v>50</v>
      </c>
      <c r="X80" s="6">
        <v>18</v>
      </c>
      <c r="Y80" s="6">
        <v>6</v>
      </c>
      <c r="Z80" s="10">
        <v>0.01</v>
      </c>
      <c r="AA80" s="11" t="s">
        <v>360</v>
      </c>
      <c r="AB80" s="3" t="s">
        <v>85</v>
      </c>
      <c r="AC80" s="3"/>
      <c r="AD80" s="3" t="s">
        <v>361</v>
      </c>
      <c r="AE80" s="3"/>
    </row>
    <row r="81" spans="1:31" x14ac:dyDescent="0.25">
      <c r="A81" s="2" t="s">
        <v>462</v>
      </c>
      <c r="B81" s="3" t="s">
        <v>34</v>
      </c>
      <c r="C81" s="3" t="s">
        <v>35</v>
      </c>
      <c r="D81" s="4" t="s">
        <v>36</v>
      </c>
      <c r="E81" s="3" t="s">
        <v>463</v>
      </c>
      <c r="F81" s="3" t="s">
        <v>464</v>
      </c>
      <c r="G81" s="4" t="s">
        <v>465</v>
      </c>
      <c r="H81" s="3" t="s">
        <v>39</v>
      </c>
      <c r="I81" s="5">
        <v>46.191969999999998</v>
      </c>
      <c r="J81" s="5">
        <v>6.4621599999999999</v>
      </c>
      <c r="K81" s="6">
        <v>1276</v>
      </c>
      <c r="L81" s="3" t="s">
        <v>466</v>
      </c>
      <c r="M81" s="7">
        <v>922</v>
      </c>
      <c r="N81" s="7">
        <v>1491</v>
      </c>
      <c r="O81" s="7">
        <f t="shared" si="1"/>
        <v>569</v>
      </c>
      <c r="P81" s="7">
        <v>1280</v>
      </c>
      <c r="Q81" s="8">
        <v>0</v>
      </c>
      <c r="R81" s="9">
        <v>16.2</v>
      </c>
      <c r="S81" s="6">
        <v>34</v>
      </c>
      <c r="T81" s="6">
        <v>11</v>
      </c>
      <c r="U81" s="6">
        <v>4</v>
      </c>
      <c r="V81" s="6">
        <v>10</v>
      </c>
      <c r="W81" s="6">
        <v>14</v>
      </c>
      <c r="X81" s="6">
        <v>2</v>
      </c>
      <c r="Y81" s="6">
        <v>4</v>
      </c>
      <c r="Z81" s="10">
        <v>1.94</v>
      </c>
      <c r="AA81" s="3"/>
      <c r="AB81" s="3"/>
      <c r="AC81" s="3"/>
      <c r="AD81" s="3" t="s">
        <v>467</v>
      </c>
      <c r="AE81" s="11" t="s">
        <v>468</v>
      </c>
    </row>
    <row r="82" spans="1:31" x14ac:dyDescent="0.25">
      <c r="A82" s="2" t="s">
        <v>469</v>
      </c>
      <c r="B82" s="3" t="s">
        <v>34</v>
      </c>
      <c r="C82" s="3" t="s">
        <v>35</v>
      </c>
      <c r="D82" s="4" t="s">
        <v>36</v>
      </c>
      <c r="E82" s="3" t="s">
        <v>263</v>
      </c>
      <c r="F82" s="3" t="s">
        <v>264</v>
      </c>
      <c r="G82" s="4" t="s">
        <v>265</v>
      </c>
      <c r="H82" s="3" t="s">
        <v>39</v>
      </c>
      <c r="I82" s="5">
        <v>46.038159999999998</v>
      </c>
      <c r="J82" s="5">
        <v>6.6360299999999999</v>
      </c>
      <c r="K82" s="6">
        <v>1030</v>
      </c>
      <c r="L82" s="3" t="s">
        <v>266</v>
      </c>
      <c r="M82" s="7">
        <v>682</v>
      </c>
      <c r="N82" s="7">
        <v>2485</v>
      </c>
      <c r="O82" s="7">
        <f t="shared" si="1"/>
        <v>1803</v>
      </c>
      <c r="P82" s="7">
        <v>1698</v>
      </c>
      <c r="Q82" s="8">
        <v>0.19800000000000001</v>
      </c>
      <c r="R82" s="9">
        <v>385</v>
      </c>
      <c r="S82" s="6">
        <v>444</v>
      </c>
      <c r="T82" s="6">
        <v>72</v>
      </c>
      <c r="U82" s="6">
        <v>128</v>
      </c>
      <c r="V82" s="6">
        <v>189</v>
      </c>
      <c r="W82" s="6">
        <v>92</v>
      </c>
      <c r="X82" s="6">
        <v>25</v>
      </c>
      <c r="Y82" s="6">
        <v>10</v>
      </c>
      <c r="Z82" s="10">
        <v>1.42</v>
      </c>
      <c r="AA82" s="11" t="s">
        <v>470</v>
      </c>
      <c r="AB82" s="3" t="s">
        <v>103</v>
      </c>
      <c r="AC82" s="3"/>
      <c r="AD82" s="3" t="s">
        <v>267</v>
      </c>
      <c r="AE82" s="11" t="s">
        <v>471</v>
      </c>
    </row>
    <row r="83" spans="1:31" x14ac:dyDescent="0.25">
      <c r="A83" s="2" t="s">
        <v>472</v>
      </c>
      <c r="B83" s="3" t="s">
        <v>34</v>
      </c>
      <c r="C83" s="3" t="s">
        <v>35</v>
      </c>
      <c r="D83" s="4" t="s">
        <v>44</v>
      </c>
      <c r="E83" s="3" t="s">
        <v>52</v>
      </c>
      <c r="F83" s="3" t="s">
        <v>143</v>
      </c>
      <c r="G83" s="4" t="s">
        <v>144</v>
      </c>
      <c r="H83" s="3" t="s">
        <v>39</v>
      </c>
      <c r="I83" s="5">
        <v>45.554290000000002</v>
      </c>
      <c r="J83" s="5">
        <v>6.7305599999999997</v>
      </c>
      <c r="K83" s="6">
        <v>1392</v>
      </c>
      <c r="L83" s="3" t="s">
        <v>55</v>
      </c>
      <c r="M83" s="7">
        <v>1199</v>
      </c>
      <c r="N83" s="7">
        <v>3216</v>
      </c>
      <c r="O83" s="7">
        <f t="shared" si="1"/>
        <v>2017</v>
      </c>
      <c r="P83" s="7">
        <v>2076</v>
      </c>
      <c r="Q83" s="8">
        <v>0.59799999999999998</v>
      </c>
      <c r="R83" s="9">
        <v>487.8</v>
      </c>
      <c r="S83" s="6">
        <v>680</v>
      </c>
      <c r="T83" s="6">
        <v>87</v>
      </c>
      <c r="U83" s="6">
        <v>47</v>
      </c>
      <c r="V83" s="6">
        <v>395</v>
      </c>
      <c r="W83" s="6">
        <v>150</v>
      </c>
      <c r="X83" s="6">
        <v>60</v>
      </c>
      <c r="Y83" s="6">
        <v>28</v>
      </c>
      <c r="Z83" s="10">
        <v>0.06</v>
      </c>
      <c r="AA83" s="11" t="s">
        <v>56</v>
      </c>
      <c r="AB83" s="3" t="s">
        <v>57</v>
      </c>
      <c r="AC83" s="3"/>
      <c r="AD83" s="3" t="s">
        <v>58</v>
      </c>
      <c r="AE83" s="3"/>
    </row>
    <row r="84" spans="1:31" x14ac:dyDescent="0.25">
      <c r="A84" s="2" t="s">
        <v>473</v>
      </c>
      <c r="B84" s="3" t="s">
        <v>34</v>
      </c>
      <c r="C84" s="3" t="s">
        <v>35</v>
      </c>
      <c r="D84" s="4" t="s">
        <v>36</v>
      </c>
      <c r="E84" s="3" t="s">
        <v>384</v>
      </c>
      <c r="F84" s="3" t="s">
        <v>474</v>
      </c>
      <c r="G84" s="4" t="s">
        <v>475</v>
      </c>
      <c r="H84" s="3" t="s">
        <v>39</v>
      </c>
      <c r="I84" s="5">
        <v>45.8217</v>
      </c>
      <c r="J84" s="5">
        <v>6.7285000000000004</v>
      </c>
      <c r="K84" s="6">
        <v>1175</v>
      </c>
      <c r="L84" s="3" t="s">
        <v>302</v>
      </c>
      <c r="M84" s="7">
        <v>1158</v>
      </c>
      <c r="N84" s="7">
        <v>2444</v>
      </c>
      <c r="O84" s="7">
        <f t="shared" si="1"/>
        <v>1286</v>
      </c>
      <c r="P84" s="7">
        <v>1887</v>
      </c>
      <c r="Q84" s="8">
        <v>0.247</v>
      </c>
      <c r="R84" s="9">
        <v>72.2</v>
      </c>
      <c r="S84" s="6">
        <v>95</v>
      </c>
      <c r="T84" s="6">
        <v>27</v>
      </c>
      <c r="U84" s="6">
        <v>10</v>
      </c>
      <c r="V84" s="6">
        <v>38</v>
      </c>
      <c r="W84" s="6">
        <v>30</v>
      </c>
      <c r="X84" s="6">
        <v>15</v>
      </c>
      <c r="Y84" s="6">
        <v>2</v>
      </c>
      <c r="Z84" s="10">
        <v>0.49</v>
      </c>
      <c r="AA84" s="11" t="s">
        <v>476</v>
      </c>
      <c r="AB84" s="3"/>
      <c r="AC84" s="11" t="s">
        <v>477</v>
      </c>
      <c r="AD84" s="3" t="s">
        <v>303</v>
      </c>
      <c r="AE84" s="11" t="s">
        <v>478</v>
      </c>
    </row>
    <row r="85" spans="1:31" x14ac:dyDescent="0.25">
      <c r="A85" s="2" t="s">
        <v>479</v>
      </c>
      <c r="B85" s="3" t="s">
        <v>34</v>
      </c>
      <c r="C85" s="3" t="s">
        <v>35</v>
      </c>
      <c r="D85" s="4" t="s">
        <v>36</v>
      </c>
      <c r="E85" s="3" t="s">
        <v>480</v>
      </c>
      <c r="F85" s="3" t="s">
        <v>479</v>
      </c>
      <c r="G85" s="4" t="s">
        <v>481</v>
      </c>
      <c r="H85" s="3" t="s">
        <v>39</v>
      </c>
      <c r="I85" s="5">
        <v>46.157634999999999</v>
      </c>
      <c r="J85" s="5">
        <v>6.6623029999999996</v>
      </c>
      <c r="K85" s="6">
        <v>1234</v>
      </c>
      <c r="L85" s="3" t="s">
        <v>40</v>
      </c>
      <c r="M85" s="7">
        <v>920</v>
      </c>
      <c r="N85" s="7">
        <v>2230</v>
      </c>
      <c r="O85" s="7">
        <f t="shared" si="1"/>
        <v>1310</v>
      </c>
      <c r="P85" s="7">
        <v>1565</v>
      </c>
      <c r="Q85" s="8">
        <v>4.7E-2</v>
      </c>
      <c r="R85" s="9">
        <v>493.7</v>
      </c>
      <c r="S85" s="6">
        <v>762</v>
      </c>
      <c r="T85" s="6">
        <v>195</v>
      </c>
      <c r="U85" s="6">
        <v>120</v>
      </c>
      <c r="V85" s="6">
        <v>357</v>
      </c>
      <c r="W85" s="6">
        <v>210</v>
      </c>
      <c r="X85" s="6">
        <v>32</v>
      </c>
      <c r="Y85" s="6">
        <v>43</v>
      </c>
      <c r="Z85" s="10">
        <v>0.41</v>
      </c>
      <c r="AA85" s="3"/>
      <c r="AB85" s="3"/>
      <c r="AC85" s="3"/>
      <c r="AD85" s="3" t="s">
        <v>41</v>
      </c>
      <c r="AE85" s="11" t="s">
        <v>482</v>
      </c>
    </row>
    <row r="86" spans="1:31" x14ac:dyDescent="0.25">
      <c r="A86" s="2" t="s">
        <v>483</v>
      </c>
      <c r="B86" s="3" t="s">
        <v>34</v>
      </c>
      <c r="C86" s="3" t="s">
        <v>35</v>
      </c>
      <c r="D86" s="4" t="s">
        <v>36</v>
      </c>
      <c r="E86" s="3" t="s">
        <v>484</v>
      </c>
      <c r="F86" s="3" t="s">
        <v>483</v>
      </c>
      <c r="G86" s="4" t="s">
        <v>485</v>
      </c>
      <c r="H86" s="3" t="s">
        <v>39</v>
      </c>
      <c r="I86" s="5">
        <v>45.889299999999999</v>
      </c>
      <c r="J86" s="5">
        <v>6.8018999999999998</v>
      </c>
      <c r="K86" s="6">
        <v>1046</v>
      </c>
      <c r="L86" s="3" t="s">
        <v>486</v>
      </c>
      <c r="M86" s="7">
        <v>978</v>
      </c>
      <c r="N86" s="7">
        <v>1887</v>
      </c>
      <c r="O86" s="7">
        <f t="shared" si="1"/>
        <v>909</v>
      </c>
      <c r="P86" s="7">
        <v>1670</v>
      </c>
      <c r="Q86" s="8">
        <v>0</v>
      </c>
      <c r="R86" s="9">
        <v>36.5</v>
      </c>
      <c r="S86" s="6">
        <v>71</v>
      </c>
      <c r="T86" s="6">
        <v>15</v>
      </c>
      <c r="U86" s="6">
        <v>6</v>
      </c>
      <c r="V86" s="6">
        <v>33</v>
      </c>
      <c r="W86" s="6">
        <v>25</v>
      </c>
      <c r="X86" s="6">
        <v>7</v>
      </c>
      <c r="Y86" s="6"/>
      <c r="Z86" s="10">
        <v>0.14000000000000001</v>
      </c>
      <c r="AA86" s="11" t="s">
        <v>487</v>
      </c>
      <c r="AB86" s="3"/>
      <c r="AC86" s="11" t="s">
        <v>488</v>
      </c>
      <c r="AD86" s="3" t="s">
        <v>489</v>
      </c>
      <c r="AE86" s="11" t="s">
        <v>490</v>
      </c>
    </row>
    <row r="87" spans="1:31" x14ac:dyDescent="0.25">
      <c r="A87" s="2" t="s">
        <v>491</v>
      </c>
      <c r="B87" s="3" t="s">
        <v>34</v>
      </c>
      <c r="C87" s="3" t="s">
        <v>35</v>
      </c>
      <c r="D87" s="4" t="s">
        <v>44</v>
      </c>
      <c r="E87" s="3" t="s">
        <v>492</v>
      </c>
      <c r="F87" s="3" t="s">
        <v>493</v>
      </c>
      <c r="G87" s="4" t="s">
        <v>494</v>
      </c>
      <c r="H87" s="3" t="s">
        <v>39</v>
      </c>
      <c r="I87" s="5">
        <v>45.223999999999997</v>
      </c>
      <c r="J87" s="5">
        <v>6.3917000000000002</v>
      </c>
      <c r="K87" s="6">
        <v>1977</v>
      </c>
      <c r="L87" s="3" t="s">
        <v>491</v>
      </c>
      <c r="M87" s="7">
        <v>1550</v>
      </c>
      <c r="N87" s="7">
        <v>2484</v>
      </c>
      <c r="O87" s="7">
        <f t="shared" si="1"/>
        <v>934</v>
      </c>
      <c r="P87" s="7">
        <v>2013</v>
      </c>
      <c r="Q87" s="8">
        <v>0.51700000000000002</v>
      </c>
      <c r="R87" s="9">
        <v>45.1</v>
      </c>
      <c r="S87" s="6">
        <v>53</v>
      </c>
      <c r="T87" s="6">
        <v>14</v>
      </c>
      <c r="U87" s="6">
        <v>14</v>
      </c>
      <c r="V87" s="6">
        <v>13</v>
      </c>
      <c r="W87" s="6">
        <v>20</v>
      </c>
      <c r="X87" s="6">
        <v>4</v>
      </c>
      <c r="Y87" s="6">
        <v>2</v>
      </c>
      <c r="Z87" s="10">
        <v>0.05</v>
      </c>
      <c r="AA87" s="11" t="s">
        <v>495</v>
      </c>
      <c r="AB87" s="3"/>
      <c r="AC87" s="11" t="s">
        <v>496</v>
      </c>
      <c r="AD87" s="3" t="s">
        <v>497</v>
      </c>
      <c r="AE87" s="11" t="s">
        <v>498</v>
      </c>
    </row>
    <row r="88" spans="1:31" x14ac:dyDescent="0.25">
      <c r="A88" s="2" t="s">
        <v>499</v>
      </c>
      <c r="B88" s="3" t="s">
        <v>34</v>
      </c>
      <c r="C88" s="3" t="s">
        <v>35</v>
      </c>
      <c r="D88" s="4" t="s">
        <v>44</v>
      </c>
      <c r="E88" s="3" t="s">
        <v>500</v>
      </c>
      <c r="F88" s="3" t="s">
        <v>501</v>
      </c>
      <c r="G88" s="4" t="s">
        <v>502</v>
      </c>
      <c r="H88" s="3" t="s">
        <v>39</v>
      </c>
      <c r="I88" s="5">
        <v>45.323999999999998</v>
      </c>
      <c r="J88" s="5">
        <v>6.5385</v>
      </c>
      <c r="K88" s="6">
        <v>1812</v>
      </c>
      <c r="L88" s="3" t="s">
        <v>174</v>
      </c>
      <c r="M88" s="7">
        <v>1110</v>
      </c>
      <c r="N88" s="7">
        <v>3223</v>
      </c>
      <c r="O88" s="7">
        <f t="shared" si="1"/>
        <v>2113</v>
      </c>
      <c r="P88" s="7">
        <v>2252</v>
      </c>
      <c r="Q88" s="8">
        <v>0.72799999999999998</v>
      </c>
      <c r="R88" s="9">
        <v>771.4</v>
      </c>
      <c r="S88" s="6">
        <v>871</v>
      </c>
      <c r="T88" s="6">
        <v>142</v>
      </c>
      <c r="U88" s="6">
        <v>168</v>
      </c>
      <c r="V88" s="6">
        <v>422</v>
      </c>
      <c r="W88" s="6">
        <v>222</v>
      </c>
      <c r="X88" s="6">
        <v>55</v>
      </c>
      <c r="Y88" s="6">
        <v>4</v>
      </c>
      <c r="Z88" s="10">
        <v>0.03</v>
      </c>
      <c r="AA88" s="11" t="s">
        <v>503</v>
      </c>
      <c r="AB88" s="3" t="s">
        <v>103</v>
      </c>
      <c r="AC88" s="11" t="s">
        <v>504</v>
      </c>
      <c r="AD88" s="3" t="s">
        <v>177</v>
      </c>
      <c r="AE88" s="11" t="s">
        <v>505</v>
      </c>
    </row>
    <row r="89" spans="1:31" x14ac:dyDescent="0.25">
      <c r="A89" s="2" t="s">
        <v>506</v>
      </c>
      <c r="B89" s="3" t="s">
        <v>34</v>
      </c>
      <c r="C89" s="3" t="s">
        <v>35</v>
      </c>
      <c r="D89" s="4" t="s">
        <v>44</v>
      </c>
      <c r="E89" s="3" t="s">
        <v>299</v>
      </c>
      <c r="F89" s="3" t="s">
        <v>300</v>
      </c>
      <c r="G89" s="4" t="s">
        <v>301</v>
      </c>
      <c r="H89" s="3" t="s">
        <v>39</v>
      </c>
      <c r="I89" s="5">
        <v>45.7547</v>
      </c>
      <c r="J89" s="5">
        <v>6.5388000000000002</v>
      </c>
      <c r="K89" s="6">
        <v>1601</v>
      </c>
      <c r="L89" s="3" t="s">
        <v>161</v>
      </c>
      <c r="M89" s="7">
        <v>949</v>
      </c>
      <c r="N89" s="7">
        <v>2054</v>
      </c>
      <c r="O89" s="7">
        <f t="shared" si="1"/>
        <v>1105</v>
      </c>
      <c r="P89" s="7">
        <v>1660</v>
      </c>
      <c r="Q89" s="8">
        <v>1.4E-2</v>
      </c>
      <c r="R89" s="9">
        <v>225.6</v>
      </c>
      <c r="S89" s="6">
        <v>333</v>
      </c>
      <c r="T89" s="6">
        <v>85</v>
      </c>
      <c r="U89" s="6">
        <v>68</v>
      </c>
      <c r="V89" s="6">
        <v>165</v>
      </c>
      <c r="W89" s="6">
        <v>74</v>
      </c>
      <c r="X89" s="6">
        <v>13</v>
      </c>
      <c r="Y89" s="6">
        <v>13</v>
      </c>
      <c r="Z89" s="10">
        <v>0.02</v>
      </c>
      <c r="AA89" s="11" t="s">
        <v>162</v>
      </c>
      <c r="AB89" s="3" t="s">
        <v>103</v>
      </c>
      <c r="AC89" s="11" t="s">
        <v>507</v>
      </c>
      <c r="AD89" s="3" t="s">
        <v>163</v>
      </c>
      <c r="AE89" s="11" t="s">
        <v>508</v>
      </c>
    </row>
    <row r="90" spans="1:31" x14ac:dyDescent="0.25">
      <c r="A90" s="2" t="s">
        <v>509</v>
      </c>
      <c r="B90" s="3" t="s">
        <v>34</v>
      </c>
      <c r="C90" s="3" t="s">
        <v>35</v>
      </c>
      <c r="D90" s="4" t="s">
        <v>36</v>
      </c>
      <c r="E90" s="3" t="s">
        <v>306</v>
      </c>
      <c r="F90" s="3" t="s">
        <v>509</v>
      </c>
      <c r="G90" s="4" t="s">
        <v>510</v>
      </c>
      <c r="H90" s="3" t="s">
        <v>39</v>
      </c>
      <c r="I90" s="5">
        <v>46.277760999999998</v>
      </c>
      <c r="J90" s="5">
        <v>6.5136479999999999</v>
      </c>
      <c r="K90" s="6">
        <v>899</v>
      </c>
      <c r="L90" s="3" t="s">
        <v>511</v>
      </c>
      <c r="M90" s="7">
        <v>1082</v>
      </c>
      <c r="N90" s="7">
        <v>1167</v>
      </c>
      <c r="O90" s="7">
        <f t="shared" si="1"/>
        <v>85</v>
      </c>
      <c r="P90" s="7">
        <v>1134</v>
      </c>
      <c r="Q90" s="8">
        <v>0</v>
      </c>
      <c r="R90" s="9">
        <v>0.9</v>
      </c>
      <c r="S90" s="6">
        <v>5</v>
      </c>
      <c r="T90" s="6">
        <v>1</v>
      </c>
      <c r="U90" s="6">
        <v>2</v>
      </c>
      <c r="V90" s="6">
        <v>2</v>
      </c>
      <c r="W90" s="6">
        <v>1</v>
      </c>
      <c r="X90" s="6"/>
      <c r="Y90" s="6"/>
      <c r="Z90" s="10">
        <v>0.91</v>
      </c>
      <c r="AA90" s="3"/>
      <c r="AB90" s="3"/>
      <c r="AC90" s="3"/>
      <c r="AD90" s="3" t="s">
        <v>512</v>
      </c>
      <c r="AE90" s="11" t="s">
        <v>513</v>
      </c>
    </row>
    <row r="91" spans="1:31" x14ac:dyDescent="0.25">
      <c r="A91" s="2" t="s">
        <v>514</v>
      </c>
      <c r="B91" s="3" t="s">
        <v>34</v>
      </c>
      <c r="C91" s="3" t="s">
        <v>35</v>
      </c>
      <c r="D91" s="4" t="s">
        <v>222</v>
      </c>
      <c r="E91" s="3" t="s">
        <v>515</v>
      </c>
      <c r="F91" s="3" t="s">
        <v>516</v>
      </c>
      <c r="G91" s="4" t="s">
        <v>517</v>
      </c>
      <c r="H91" s="3" t="s">
        <v>39</v>
      </c>
      <c r="I91" s="5">
        <v>44.675229999999999</v>
      </c>
      <c r="J91" s="5">
        <v>5.7189069999999997</v>
      </c>
      <c r="K91" s="6">
        <v>1133</v>
      </c>
      <c r="L91" s="3" t="s">
        <v>518</v>
      </c>
      <c r="M91" s="7">
        <v>1180</v>
      </c>
      <c r="N91" s="7">
        <v>1518</v>
      </c>
      <c r="O91" s="7">
        <f t="shared" si="1"/>
        <v>338</v>
      </c>
      <c r="P91" s="7">
        <v>1330</v>
      </c>
      <c r="Q91" s="8">
        <v>0</v>
      </c>
      <c r="R91" s="9">
        <v>6.4</v>
      </c>
      <c r="S91" s="6">
        <v>13</v>
      </c>
      <c r="T91" s="6">
        <v>4</v>
      </c>
      <c r="U91" s="6">
        <v>2</v>
      </c>
      <c r="V91" s="6">
        <v>7</v>
      </c>
      <c r="W91" s="6">
        <v>2</v>
      </c>
      <c r="X91" s="6"/>
      <c r="Y91" s="6">
        <v>2</v>
      </c>
      <c r="Z91" s="10">
        <v>3.1</v>
      </c>
      <c r="AA91" s="3"/>
      <c r="AB91" s="3"/>
      <c r="AC91" s="3"/>
      <c r="AD91" s="3" t="s">
        <v>519</v>
      </c>
      <c r="AE91" s="11" t="s">
        <v>520</v>
      </c>
    </row>
    <row r="92" spans="1:31" x14ac:dyDescent="0.25">
      <c r="A92" s="2" t="s">
        <v>521</v>
      </c>
      <c r="B92" s="3" t="s">
        <v>34</v>
      </c>
      <c r="C92" s="3" t="s">
        <v>35</v>
      </c>
      <c r="D92" s="4" t="s">
        <v>36</v>
      </c>
      <c r="E92" s="3" t="s">
        <v>522</v>
      </c>
      <c r="F92" s="3" t="s">
        <v>523</v>
      </c>
      <c r="G92" s="4" t="s">
        <v>524</v>
      </c>
      <c r="H92" s="3" t="s">
        <v>39</v>
      </c>
      <c r="I92" s="5">
        <v>45.861977000000003</v>
      </c>
      <c r="J92" s="5">
        <v>6.4135179999999998</v>
      </c>
      <c r="K92" s="6">
        <v>1503</v>
      </c>
      <c r="L92" s="3" t="s">
        <v>310</v>
      </c>
      <c r="M92" s="7">
        <v>1030</v>
      </c>
      <c r="N92" s="7">
        <v>2476</v>
      </c>
      <c r="O92" s="7">
        <f t="shared" si="1"/>
        <v>1446</v>
      </c>
      <c r="P92" s="7">
        <v>1541</v>
      </c>
      <c r="Q92" s="8">
        <v>0.104</v>
      </c>
      <c r="R92" s="9">
        <v>97.1</v>
      </c>
      <c r="S92" s="6">
        <v>148</v>
      </c>
      <c r="T92" s="6">
        <v>51</v>
      </c>
      <c r="U92" s="6">
        <v>29</v>
      </c>
      <c r="V92" s="6">
        <v>60</v>
      </c>
      <c r="W92" s="6">
        <v>47</v>
      </c>
      <c r="X92" s="6">
        <v>11</v>
      </c>
      <c r="Y92" s="6">
        <v>1</v>
      </c>
      <c r="Z92" s="10">
        <v>0.02</v>
      </c>
      <c r="AA92" s="3"/>
      <c r="AB92" s="3"/>
      <c r="AC92" s="3"/>
      <c r="AD92" s="3" t="s">
        <v>315</v>
      </c>
      <c r="AE92" s="11" t="s">
        <v>525</v>
      </c>
    </row>
    <row r="93" spans="1:31" x14ac:dyDescent="0.25">
      <c r="A93" s="2" t="s">
        <v>526</v>
      </c>
      <c r="B93" s="3" t="s">
        <v>34</v>
      </c>
      <c r="C93" s="3" t="s">
        <v>35</v>
      </c>
      <c r="D93" s="4" t="s">
        <v>36</v>
      </c>
      <c r="E93" s="3" t="s">
        <v>463</v>
      </c>
      <c r="F93" s="3" t="s">
        <v>527</v>
      </c>
      <c r="G93" s="4" t="s">
        <v>528</v>
      </c>
      <c r="H93" s="3" t="s">
        <v>39</v>
      </c>
      <c r="I93" s="5">
        <v>46.204709999999999</v>
      </c>
      <c r="J93" s="5">
        <v>6.5020290000000003</v>
      </c>
      <c r="K93" s="6">
        <v>888</v>
      </c>
      <c r="L93" s="3" t="s">
        <v>290</v>
      </c>
      <c r="M93" s="7">
        <v>940</v>
      </c>
      <c r="N93" s="7">
        <v>1604</v>
      </c>
      <c r="O93" s="7">
        <f t="shared" si="1"/>
        <v>664</v>
      </c>
      <c r="P93" s="7">
        <v>1324</v>
      </c>
      <c r="Q93" s="8">
        <v>0</v>
      </c>
      <c r="R93" s="9">
        <v>22.7</v>
      </c>
      <c r="S93" s="6">
        <v>44</v>
      </c>
      <c r="T93" s="6">
        <v>20</v>
      </c>
      <c r="U93" s="6">
        <v>6</v>
      </c>
      <c r="V93" s="6">
        <v>18</v>
      </c>
      <c r="W93" s="6">
        <v>18</v>
      </c>
      <c r="X93" s="6">
        <v>2</v>
      </c>
      <c r="Y93" s="6"/>
      <c r="Z93" s="10">
        <v>2.75</v>
      </c>
      <c r="AA93" s="3"/>
      <c r="AB93" s="3"/>
      <c r="AC93" s="3"/>
      <c r="AD93" s="3" t="s">
        <v>291</v>
      </c>
      <c r="AE93" s="11" t="s">
        <v>529</v>
      </c>
    </row>
    <row r="94" spans="1:31" x14ac:dyDescent="0.25">
      <c r="A94" s="2" t="s">
        <v>387</v>
      </c>
      <c r="B94" s="3" t="s">
        <v>34</v>
      </c>
      <c r="C94" s="3" t="s">
        <v>35</v>
      </c>
      <c r="D94" s="4" t="s">
        <v>36</v>
      </c>
      <c r="E94" s="3" t="s">
        <v>530</v>
      </c>
      <c r="F94" s="3" t="s">
        <v>387</v>
      </c>
      <c r="G94" s="4" t="s">
        <v>531</v>
      </c>
      <c r="H94" s="3" t="s">
        <v>39</v>
      </c>
      <c r="I94" s="5">
        <v>45.856704000000001</v>
      </c>
      <c r="J94" s="5">
        <v>6.617934</v>
      </c>
      <c r="K94" s="6">
        <v>1101</v>
      </c>
      <c r="L94" s="3" t="s">
        <v>387</v>
      </c>
      <c r="M94" s="7">
        <v>820</v>
      </c>
      <c r="N94" s="7">
        <v>2373</v>
      </c>
      <c r="O94" s="7">
        <f t="shared" si="1"/>
        <v>1553</v>
      </c>
      <c r="P94" s="7">
        <v>1650</v>
      </c>
      <c r="Q94" s="8">
        <v>4.3999999999999997E-2</v>
      </c>
      <c r="R94" s="9">
        <v>159.5</v>
      </c>
      <c r="S94" s="6">
        <v>245</v>
      </c>
      <c r="T94" s="6">
        <v>61</v>
      </c>
      <c r="U94" s="6">
        <v>54</v>
      </c>
      <c r="V94" s="6">
        <v>66</v>
      </c>
      <c r="W94" s="6">
        <v>85</v>
      </c>
      <c r="X94" s="6">
        <v>28</v>
      </c>
      <c r="Y94" s="6">
        <v>12</v>
      </c>
      <c r="Z94" s="10">
        <v>0.15</v>
      </c>
      <c r="AA94" s="3"/>
      <c r="AB94" s="3"/>
      <c r="AC94" s="3"/>
      <c r="AD94" s="3" t="s">
        <v>388</v>
      </c>
      <c r="AE94" s="11" t="s">
        <v>532</v>
      </c>
    </row>
    <row r="95" spans="1:31" x14ac:dyDescent="0.25">
      <c r="A95" s="2" t="s">
        <v>533</v>
      </c>
      <c r="B95" s="3" t="s">
        <v>34</v>
      </c>
      <c r="C95" s="3" t="s">
        <v>35</v>
      </c>
      <c r="D95" s="4" t="s">
        <v>44</v>
      </c>
      <c r="E95" s="3" t="s">
        <v>534</v>
      </c>
      <c r="F95" s="3" t="s">
        <v>535</v>
      </c>
      <c r="G95" s="4" t="s">
        <v>536</v>
      </c>
      <c r="H95" s="3" t="s">
        <v>39</v>
      </c>
      <c r="I95" s="5">
        <v>45.39367</v>
      </c>
      <c r="J95" s="5">
        <v>6.5658599999999998</v>
      </c>
      <c r="K95" s="6">
        <v>1435</v>
      </c>
      <c r="L95" s="3" t="s">
        <v>174</v>
      </c>
      <c r="M95" s="7">
        <v>1110</v>
      </c>
      <c r="N95" s="7">
        <v>3223</v>
      </c>
      <c r="O95" s="7">
        <f t="shared" si="1"/>
        <v>2113</v>
      </c>
      <c r="P95" s="7">
        <v>2252</v>
      </c>
      <c r="Q95" s="8">
        <v>0.72799999999999998</v>
      </c>
      <c r="R95" s="9">
        <v>771.4</v>
      </c>
      <c r="S95" s="6">
        <v>871</v>
      </c>
      <c r="T95" s="6">
        <v>142</v>
      </c>
      <c r="U95" s="6">
        <v>168</v>
      </c>
      <c r="V95" s="6">
        <v>422</v>
      </c>
      <c r="W95" s="6">
        <v>222</v>
      </c>
      <c r="X95" s="6">
        <v>55</v>
      </c>
      <c r="Y95" s="6">
        <v>4</v>
      </c>
      <c r="Z95" s="10">
        <v>0.08</v>
      </c>
      <c r="AA95" s="11" t="s">
        <v>537</v>
      </c>
      <c r="AB95" s="3" t="s">
        <v>57</v>
      </c>
      <c r="AC95" s="11" t="s">
        <v>538</v>
      </c>
      <c r="AD95" s="3" t="s">
        <v>177</v>
      </c>
      <c r="AE95" s="11" t="s">
        <v>539</v>
      </c>
    </row>
    <row r="96" spans="1:31" x14ac:dyDescent="0.25">
      <c r="A96" s="2" t="s">
        <v>540</v>
      </c>
      <c r="B96" s="3" t="s">
        <v>34</v>
      </c>
      <c r="C96" s="3" t="s">
        <v>35</v>
      </c>
      <c r="D96" s="4" t="s">
        <v>36</v>
      </c>
      <c r="E96" s="3" t="s">
        <v>541</v>
      </c>
      <c r="F96" s="3" t="s">
        <v>540</v>
      </c>
      <c r="G96" s="4" t="s">
        <v>542</v>
      </c>
      <c r="H96" s="3" t="s">
        <v>39</v>
      </c>
      <c r="I96" s="5">
        <v>46.053592000000002</v>
      </c>
      <c r="J96" s="5">
        <v>6.4882590000000002</v>
      </c>
      <c r="K96" s="6">
        <v>959</v>
      </c>
      <c r="L96" s="3" t="s">
        <v>543</v>
      </c>
      <c r="M96" s="7">
        <v>1037</v>
      </c>
      <c r="N96" s="7">
        <v>1544</v>
      </c>
      <c r="O96" s="7">
        <f t="shared" si="1"/>
        <v>507</v>
      </c>
      <c r="P96" s="7">
        <v>1415</v>
      </c>
      <c r="Q96" s="8">
        <v>0</v>
      </c>
      <c r="R96" s="9">
        <v>6.9</v>
      </c>
      <c r="S96" s="6">
        <v>12</v>
      </c>
      <c r="T96" s="6">
        <v>6</v>
      </c>
      <c r="U96" s="6">
        <v>4</v>
      </c>
      <c r="V96" s="6">
        <v>3</v>
      </c>
      <c r="W96" s="6">
        <v>5</v>
      </c>
      <c r="X96" s="6"/>
      <c r="Y96" s="6"/>
      <c r="Z96" s="10">
        <v>0.45</v>
      </c>
      <c r="AA96" s="3"/>
      <c r="AB96" s="3"/>
      <c r="AC96" s="3"/>
      <c r="AD96" s="3" t="s">
        <v>544</v>
      </c>
      <c r="AE96" s="11" t="s">
        <v>545</v>
      </c>
    </row>
    <row r="97" spans="1:31" x14ac:dyDescent="0.25">
      <c r="A97" s="2" t="s">
        <v>546</v>
      </c>
      <c r="B97" s="3" t="s">
        <v>34</v>
      </c>
      <c r="C97" s="3" t="s">
        <v>35</v>
      </c>
      <c r="D97" s="4" t="s">
        <v>44</v>
      </c>
      <c r="E97" s="3" t="s">
        <v>52</v>
      </c>
      <c r="F97" s="3" t="s">
        <v>143</v>
      </c>
      <c r="G97" s="4" t="s">
        <v>144</v>
      </c>
      <c r="H97" s="3" t="s">
        <v>39</v>
      </c>
      <c r="I97" s="5">
        <v>45.560419899999999</v>
      </c>
      <c r="J97" s="5">
        <v>6.73601779</v>
      </c>
      <c r="K97" s="6">
        <v>1173</v>
      </c>
      <c r="L97" s="3" t="s">
        <v>55</v>
      </c>
      <c r="M97" s="7">
        <v>1199</v>
      </c>
      <c r="N97" s="7">
        <v>3216</v>
      </c>
      <c r="O97" s="7">
        <f t="shared" si="1"/>
        <v>2017</v>
      </c>
      <c r="P97" s="7">
        <v>2076</v>
      </c>
      <c r="Q97" s="8">
        <v>0.59799999999999998</v>
      </c>
      <c r="R97" s="9">
        <v>487.8</v>
      </c>
      <c r="S97" s="6">
        <v>680</v>
      </c>
      <c r="T97" s="6">
        <v>87</v>
      </c>
      <c r="U97" s="6">
        <v>47</v>
      </c>
      <c r="V97" s="6">
        <v>395</v>
      </c>
      <c r="W97" s="6">
        <v>150</v>
      </c>
      <c r="X97" s="6">
        <v>60</v>
      </c>
      <c r="Y97" s="6">
        <v>28</v>
      </c>
      <c r="Z97" s="10">
        <v>0.11</v>
      </c>
      <c r="AA97" s="11" t="s">
        <v>56</v>
      </c>
      <c r="AB97" s="3" t="s">
        <v>57</v>
      </c>
      <c r="AC97" s="11" t="s">
        <v>547</v>
      </c>
      <c r="AD97" s="3" t="s">
        <v>58</v>
      </c>
      <c r="AE97" s="11" t="s">
        <v>548</v>
      </c>
    </row>
    <row r="98" spans="1:31" x14ac:dyDescent="0.25">
      <c r="A98" s="2" t="s">
        <v>549</v>
      </c>
      <c r="B98" s="3" t="s">
        <v>34</v>
      </c>
      <c r="C98" s="3" t="s">
        <v>35</v>
      </c>
      <c r="D98" s="4" t="s">
        <v>36</v>
      </c>
      <c r="E98" s="3" t="s">
        <v>550</v>
      </c>
      <c r="F98" s="3" t="s">
        <v>551</v>
      </c>
      <c r="G98" s="4" t="s">
        <v>552</v>
      </c>
      <c r="H98" s="3" t="s">
        <v>39</v>
      </c>
      <c r="I98" s="5">
        <v>45.804299999999998</v>
      </c>
      <c r="J98" s="5">
        <v>6.2366999999999999</v>
      </c>
      <c r="K98" s="6">
        <v>668</v>
      </c>
      <c r="L98" s="3" t="s">
        <v>553</v>
      </c>
      <c r="M98" s="7">
        <v>1103</v>
      </c>
      <c r="N98" s="7">
        <v>1190</v>
      </c>
      <c r="O98" s="7">
        <f t="shared" si="1"/>
        <v>87</v>
      </c>
      <c r="P98" s="7">
        <v>1131</v>
      </c>
      <c r="Q98" s="8">
        <v>0</v>
      </c>
      <c r="R98" s="9">
        <v>1.5</v>
      </c>
      <c r="S98" s="6">
        <v>6</v>
      </c>
      <c r="T98" s="6">
        <v>2</v>
      </c>
      <c r="U98" s="6">
        <v>2</v>
      </c>
      <c r="V98" s="6">
        <v>2</v>
      </c>
      <c r="W98" s="6">
        <v>2</v>
      </c>
      <c r="X98" s="6"/>
      <c r="Y98" s="6"/>
      <c r="Z98" s="10">
        <v>0.76</v>
      </c>
      <c r="AA98" s="3"/>
      <c r="AB98" s="3"/>
      <c r="AC98" s="3"/>
      <c r="AD98" s="3" t="s">
        <v>554</v>
      </c>
      <c r="AE98" s="11" t="s">
        <v>555</v>
      </c>
    </row>
    <row r="99" spans="1:31" x14ac:dyDescent="0.25">
      <c r="A99" s="2" t="s">
        <v>556</v>
      </c>
      <c r="B99" s="3" t="s">
        <v>34</v>
      </c>
      <c r="C99" s="3" t="s">
        <v>35</v>
      </c>
      <c r="D99" s="4" t="s">
        <v>36</v>
      </c>
      <c r="E99" s="3" t="s">
        <v>137</v>
      </c>
      <c r="F99" s="3" t="s">
        <v>556</v>
      </c>
      <c r="G99" s="4" t="s">
        <v>557</v>
      </c>
      <c r="H99" s="3" t="s">
        <v>39</v>
      </c>
      <c r="I99" s="5">
        <v>46.209504000000003</v>
      </c>
      <c r="J99" s="5">
        <v>6.7213349999999998</v>
      </c>
      <c r="K99" s="6">
        <v>1070</v>
      </c>
      <c r="L99" s="3" t="s">
        <v>40</v>
      </c>
      <c r="M99" s="7">
        <v>920</v>
      </c>
      <c r="N99" s="7">
        <v>2230</v>
      </c>
      <c r="O99" s="7">
        <f t="shared" si="1"/>
        <v>1310</v>
      </c>
      <c r="P99" s="7">
        <v>1565</v>
      </c>
      <c r="Q99" s="8">
        <v>4.7E-2</v>
      </c>
      <c r="R99" s="9">
        <v>493.7</v>
      </c>
      <c r="S99" s="6">
        <v>762</v>
      </c>
      <c r="T99" s="6">
        <v>195</v>
      </c>
      <c r="U99" s="6">
        <v>120</v>
      </c>
      <c r="V99" s="6">
        <v>357</v>
      </c>
      <c r="W99" s="6">
        <v>210</v>
      </c>
      <c r="X99" s="6">
        <v>32</v>
      </c>
      <c r="Y99" s="6">
        <v>43</v>
      </c>
      <c r="Z99" s="10">
        <v>1.33</v>
      </c>
      <c r="AA99" s="11" t="s">
        <v>140</v>
      </c>
      <c r="AB99" s="3" t="s">
        <v>103</v>
      </c>
      <c r="AC99" s="3"/>
      <c r="AD99" s="3" t="s">
        <v>41</v>
      </c>
      <c r="AE99" s="11" t="s">
        <v>558</v>
      </c>
    </row>
    <row r="100" spans="1:31" x14ac:dyDescent="0.25">
      <c r="A100" s="2" t="s">
        <v>559</v>
      </c>
      <c r="B100" s="3" t="s">
        <v>34</v>
      </c>
      <c r="C100" s="3" t="s">
        <v>35</v>
      </c>
      <c r="D100" s="4" t="s">
        <v>36</v>
      </c>
      <c r="E100" s="3" t="s">
        <v>560</v>
      </c>
      <c r="F100" s="3" t="s">
        <v>559</v>
      </c>
      <c r="G100" s="4" t="s">
        <v>561</v>
      </c>
      <c r="H100" s="3" t="s">
        <v>39</v>
      </c>
      <c r="I100" s="5">
        <v>46.075600000000001</v>
      </c>
      <c r="J100" s="5">
        <v>6.6721399999999997</v>
      </c>
      <c r="K100" s="6">
        <v>878</v>
      </c>
      <c r="L100" s="3" t="s">
        <v>266</v>
      </c>
      <c r="M100" s="7">
        <v>682</v>
      </c>
      <c r="N100" s="7">
        <v>2485</v>
      </c>
      <c r="O100" s="7">
        <f t="shared" si="1"/>
        <v>1803</v>
      </c>
      <c r="P100" s="7">
        <v>1698</v>
      </c>
      <c r="Q100" s="8">
        <v>0.19800000000000001</v>
      </c>
      <c r="R100" s="9">
        <v>385</v>
      </c>
      <c r="S100" s="6">
        <v>444</v>
      </c>
      <c r="T100" s="6">
        <v>72</v>
      </c>
      <c r="U100" s="6">
        <v>128</v>
      </c>
      <c r="V100" s="6">
        <v>189</v>
      </c>
      <c r="W100" s="6">
        <v>92</v>
      </c>
      <c r="X100" s="6">
        <v>25</v>
      </c>
      <c r="Y100" s="6">
        <v>10</v>
      </c>
      <c r="Z100" s="10">
        <v>0.22</v>
      </c>
      <c r="AA100" s="3"/>
      <c r="AB100" s="3"/>
      <c r="AC100" s="3"/>
      <c r="AD100" s="3" t="s">
        <v>267</v>
      </c>
      <c r="AE100" s="11" t="s">
        <v>562</v>
      </c>
    </row>
    <row r="101" spans="1:31" x14ac:dyDescent="0.25">
      <c r="A101" s="2" t="s">
        <v>138</v>
      </c>
      <c r="B101" s="3" t="s">
        <v>34</v>
      </c>
      <c r="C101" s="3" t="s">
        <v>35</v>
      </c>
      <c r="D101" s="4" t="s">
        <v>36</v>
      </c>
      <c r="E101" s="3" t="s">
        <v>137</v>
      </c>
      <c r="F101" s="3" t="s">
        <v>138</v>
      </c>
      <c r="G101" s="4" t="s">
        <v>139</v>
      </c>
      <c r="H101" s="3" t="s">
        <v>39</v>
      </c>
      <c r="I101" s="5">
        <v>46.182181</v>
      </c>
      <c r="J101" s="5">
        <v>6.7270700000000003</v>
      </c>
      <c r="K101" s="6">
        <v>1049</v>
      </c>
      <c r="L101" s="3" t="s">
        <v>40</v>
      </c>
      <c r="M101" s="7">
        <v>920</v>
      </c>
      <c r="N101" s="7">
        <v>2230</v>
      </c>
      <c r="O101" s="7">
        <f t="shared" si="1"/>
        <v>1310</v>
      </c>
      <c r="P101" s="7">
        <v>1565</v>
      </c>
      <c r="Q101" s="8">
        <v>4.7E-2</v>
      </c>
      <c r="R101" s="9">
        <v>493.7</v>
      </c>
      <c r="S101" s="6">
        <v>762</v>
      </c>
      <c r="T101" s="6">
        <v>195</v>
      </c>
      <c r="U101" s="6">
        <v>120</v>
      </c>
      <c r="V101" s="6">
        <v>357</v>
      </c>
      <c r="W101" s="6">
        <v>210</v>
      </c>
      <c r="X101" s="6">
        <v>32</v>
      </c>
      <c r="Y101" s="6">
        <v>43</v>
      </c>
      <c r="Z101" s="10">
        <v>1.1200000000000001</v>
      </c>
      <c r="AA101" s="3"/>
      <c r="AB101" s="3"/>
      <c r="AC101" s="3"/>
      <c r="AD101" s="3" t="s">
        <v>41</v>
      </c>
      <c r="AE101" s="11" t="s">
        <v>563</v>
      </c>
    </row>
    <row r="102" spans="1:31" x14ac:dyDescent="0.25">
      <c r="A102" s="2" t="s">
        <v>564</v>
      </c>
      <c r="B102" s="3" t="s">
        <v>34</v>
      </c>
      <c r="C102" s="3" t="s">
        <v>35</v>
      </c>
      <c r="D102" s="4" t="s">
        <v>44</v>
      </c>
      <c r="E102" s="3" t="s">
        <v>534</v>
      </c>
      <c r="F102" s="3" t="s">
        <v>535</v>
      </c>
      <c r="G102" s="4" t="s">
        <v>536</v>
      </c>
      <c r="H102" s="3" t="s">
        <v>39</v>
      </c>
      <c r="I102" s="5">
        <v>45.415930000000003</v>
      </c>
      <c r="J102" s="5">
        <v>6.5643799999999999</v>
      </c>
      <c r="K102" s="6">
        <v>1413</v>
      </c>
      <c r="L102" s="3" t="s">
        <v>174</v>
      </c>
      <c r="M102" s="7">
        <v>1110</v>
      </c>
      <c r="N102" s="7">
        <v>3223</v>
      </c>
      <c r="O102" s="7">
        <f t="shared" si="1"/>
        <v>2113</v>
      </c>
      <c r="P102" s="7">
        <v>2252</v>
      </c>
      <c r="Q102" s="8">
        <v>0.72799999999999998</v>
      </c>
      <c r="R102" s="9">
        <v>771.4</v>
      </c>
      <c r="S102" s="6">
        <v>871</v>
      </c>
      <c r="T102" s="6">
        <v>142</v>
      </c>
      <c r="U102" s="6">
        <v>168</v>
      </c>
      <c r="V102" s="6">
        <v>422</v>
      </c>
      <c r="W102" s="6">
        <v>222</v>
      </c>
      <c r="X102" s="6">
        <v>55</v>
      </c>
      <c r="Y102" s="6">
        <v>4</v>
      </c>
      <c r="Z102" s="10">
        <v>0.1</v>
      </c>
      <c r="AA102" s="11" t="s">
        <v>537</v>
      </c>
      <c r="AB102" s="3" t="s">
        <v>57</v>
      </c>
      <c r="AC102" s="3"/>
      <c r="AD102" s="3" t="s">
        <v>177</v>
      </c>
      <c r="AE102" s="3"/>
    </row>
    <row r="103" spans="1:31" x14ac:dyDescent="0.25">
      <c r="A103" s="2" t="s">
        <v>565</v>
      </c>
      <c r="B103" s="3" t="s">
        <v>34</v>
      </c>
      <c r="C103" s="3" t="s">
        <v>35</v>
      </c>
      <c r="D103" s="4" t="s">
        <v>44</v>
      </c>
      <c r="E103" s="3" t="s">
        <v>534</v>
      </c>
      <c r="F103" s="3" t="s">
        <v>535</v>
      </c>
      <c r="G103" s="4" t="s">
        <v>536</v>
      </c>
      <c r="H103" s="3" t="s">
        <v>39</v>
      </c>
      <c r="I103" s="5">
        <v>45.373080000000002</v>
      </c>
      <c r="J103" s="5">
        <v>6.5772700000000004</v>
      </c>
      <c r="K103" s="6">
        <v>1717</v>
      </c>
      <c r="L103" s="3" t="s">
        <v>174</v>
      </c>
      <c r="M103" s="7">
        <v>1110</v>
      </c>
      <c r="N103" s="7">
        <v>3223</v>
      </c>
      <c r="O103" s="7">
        <f t="shared" si="1"/>
        <v>2113</v>
      </c>
      <c r="P103" s="7">
        <v>2252</v>
      </c>
      <c r="Q103" s="8">
        <v>0.72799999999999998</v>
      </c>
      <c r="R103" s="9">
        <v>771.4</v>
      </c>
      <c r="S103" s="6">
        <v>871</v>
      </c>
      <c r="T103" s="6">
        <v>142</v>
      </c>
      <c r="U103" s="6">
        <v>168</v>
      </c>
      <c r="V103" s="6">
        <v>422</v>
      </c>
      <c r="W103" s="6">
        <v>222</v>
      </c>
      <c r="X103" s="6">
        <v>55</v>
      </c>
      <c r="Y103" s="6">
        <v>4</v>
      </c>
      <c r="Z103" s="10">
        <v>0.05</v>
      </c>
      <c r="AA103" s="11" t="s">
        <v>537</v>
      </c>
      <c r="AB103" s="3" t="s">
        <v>57</v>
      </c>
      <c r="AC103" s="3"/>
      <c r="AD103" s="3" t="s">
        <v>177</v>
      </c>
      <c r="AE103" s="3"/>
    </row>
    <row r="104" spans="1:31" x14ac:dyDescent="0.25">
      <c r="A104" s="2" t="s">
        <v>566</v>
      </c>
      <c r="B104" s="3" t="s">
        <v>34</v>
      </c>
      <c r="C104" s="3" t="s">
        <v>35</v>
      </c>
      <c r="D104" s="4" t="s">
        <v>36</v>
      </c>
      <c r="E104" s="3" t="s">
        <v>263</v>
      </c>
      <c r="F104" s="3" t="s">
        <v>567</v>
      </c>
      <c r="G104" s="4" t="s">
        <v>568</v>
      </c>
      <c r="H104" s="3" t="s">
        <v>39</v>
      </c>
      <c r="I104" s="5">
        <v>46.042887999999998</v>
      </c>
      <c r="J104" s="5">
        <v>6.5753909999999998</v>
      </c>
      <c r="K104" s="6">
        <v>948</v>
      </c>
      <c r="L104" s="3" t="s">
        <v>569</v>
      </c>
      <c r="M104" s="7">
        <v>1192</v>
      </c>
      <c r="N104" s="7">
        <v>1405</v>
      </c>
      <c r="O104" s="7">
        <f t="shared" si="1"/>
        <v>213</v>
      </c>
      <c r="P104" s="7">
        <v>1310</v>
      </c>
      <c r="Q104" s="8">
        <v>0</v>
      </c>
      <c r="R104" s="9">
        <v>3.5</v>
      </c>
      <c r="S104" s="6">
        <v>8</v>
      </c>
      <c r="T104" s="6">
        <v>3</v>
      </c>
      <c r="U104" s="6">
        <v>1</v>
      </c>
      <c r="V104" s="6">
        <v>2</v>
      </c>
      <c r="W104" s="6">
        <v>5</v>
      </c>
      <c r="X104" s="6"/>
      <c r="Y104" s="6"/>
      <c r="Z104" s="10">
        <v>1.19</v>
      </c>
      <c r="AA104" s="3"/>
      <c r="AB104" s="3"/>
      <c r="AC104" s="3"/>
      <c r="AD104" s="3" t="s">
        <v>570</v>
      </c>
      <c r="AE104" s="11" t="s">
        <v>571</v>
      </c>
    </row>
    <row r="105" spans="1:31" x14ac:dyDescent="0.25">
      <c r="A105" s="2" t="s">
        <v>572</v>
      </c>
      <c r="B105" s="3" t="s">
        <v>34</v>
      </c>
      <c r="C105" s="3" t="s">
        <v>35</v>
      </c>
      <c r="D105" s="4" t="s">
        <v>44</v>
      </c>
      <c r="E105" s="3" t="s">
        <v>251</v>
      </c>
      <c r="F105" s="3" t="s">
        <v>573</v>
      </c>
      <c r="G105" s="4" t="s">
        <v>574</v>
      </c>
      <c r="H105" s="3" t="s">
        <v>39</v>
      </c>
      <c r="I105" s="5">
        <v>45.809899999999999</v>
      </c>
      <c r="J105" s="5">
        <v>6.5145999999999997</v>
      </c>
      <c r="K105" s="6">
        <v>1086</v>
      </c>
      <c r="L105" s="3" t="s">
        <v>161</v>
      </c>
      <c r="M105" s="7">
        <v>949</v>
      </c>
      <c r="N105" s="7">
        <v>2054</v>
      </c>
      <c r="O105" s="7">
        <f t="shared" si="1"/>
        <v>1105</v>
      </c>
      <c r="P105" s="7">
        <v>1660</v>
      </c>
      <c r="Q105" s="8">
        <v>1.4E-2</v>
      </c>
      <c r="R105" s="9">
        <v>225.6</v>
      </c>
      <c r="S105" s="6">
        <v>333</v>
      </c>
      <c r="T105" s="6">
        <v>85</v>
      </c>
      <c r="U105" s="6">
        <v>68</v>
      </c>
      <c r="V105" s="6">
        <v>165</v>
      </c>
      <c r="W105" s="6">
        <v>74</v>
      </c>
      <c r="X105" s="6">
        <v>13</v>
      </c>
      <c r="Y105" s="6">
        <v>13</v>
      </c>
      <c r="Z105" s="10">
        <v>0.44</v>
      </c>
      <c r="AA105" s="11" t="s">
        <v>575</v>
      </c>
      <c r="AB105" s="3"/>
      <c r="AC105" s="11" t="s">
        <v>576</v>
      </c>
      <c r="AD105" s="3" t="s">
        <v>163</v>
      </c>
      <c r="AE105" s="11" t="s">
        <v>577</v>
      </c>
    </row>
    <row r="106" spans="1:31" x14ac:dyDescent="0.25">
      <c r="A106" s="2" t="s">
        <v>578</v>
      </c>
      <c r="B106" s="3" t="s">
        <v>34</v>
      </c>
      <c r="C106" s="3" t="s">
        <v>35</v>
      </c>
      <c r="D106" s="4" t="s">
        <v>36</v>
      </c>
      <c r="E106" s="3" t="s">
        <v>579</v>
      </c>
      <c r="F106" s="3" t="s">
        <v>580</v>
      </c>
      <c r="G106" s="4" t="s">
        <v>581</v>
      </c>
      <c r="H106" s="3" t="s">
        <v>39</v>
      </c>
      <c r="I106" s="5">
        <v>46.041890000000002</v>
      </c>
      <c r="J106" s="5">
        <v>6.32911</v>
      </c>
      <c r="K106" s="6">
        <v>770</v>
      </c>
      <c r="L106" s="3" t="s">
        <v>391</v>
      </c>
      <c r="M106" s="7">
        <v>930</v>
      </c>
      <c r="N106" s="7">
        <v>2028</v>
      </c>
      <c r="O106" s="7">
        <f t="shared" si="1"/>
        <v>1098</v>
      </c>
      <c r="P106" s="7">
        <v>1510</v>
      </c>
      <c r="Q106" s="8">
        <v>8.0000000000000002E-3</v>
      </c>
      <c r="R106" s="9">
        <v>59.3</v>
      </c>
      <c r="S106" s="6">
        <v>121</v>
      </c>
      <c r="T106" s="6">
        <v>26</v>
      </c>
      <c r="U106" s="6">
        <v>46</v>
      </c>
      <c r="V106" s="6">
        <v>47</v>
      </c>
      <c r="W106" s="6">
        <v>18</v>
      </c>
      <c r="X106" s="6">
        <v>5</v>
      </c>
      <c r="Y106" s="6">
        <v>5</v>
      </c>
      <c r="Z106" s="10">
        <v>12.15</v>
      </c>
      <c r="AA106" s="3"/>
      <c r="AB106" s="3"/>
      <c r="AC106" s="3"/>
      <c r="AD106" s="3" t="s">
        <v>394</v>
      </c>
      <c r="AE106" s="11" t="s">
        <v>582</v>
      </c>
    </row>
    <row r="107" spans="1:31" x14ac:dyDescent="0.25">
      <c r="A107" s="2" t="s">
        <v>583</v>
      </c>
      <c r="B107" s="3" t="s">
        <v>34</v>
      </c>
      <c r="C107" s="3" t="s">
        <v>35</v>
      </c>
      <c r="D107" s="4" t="s">
        <v>44</v>
      </c>
      <c r="E107" s="3" t="s">
        <v>584</v>
      </c>
      <c r="F107" s="3" t="s">
        <v>583</v>
      </c>
      <c r="G107" s="4" t="s">
        <v>585</v>
      </c>
      <c r="H107" s="3" t="s">
        <v>39</v>
      </c>
      <c r="I107" s="5">
        <v>45.209870000000002</v>
      </c>
      <c r="J107" s="5">
        <v>6.536645</v>
      </c>
      <c r="K107" s="6">
        <v>988</v>
      </c>
      <c r="L107" s="3" t="s">
        <v>586</v>
      </c>
      <c r="M107" s="7">
        <v>1406</v>
      </c>
      <c r="N107" s="7">
        <v>2741</v>
      </c>
      <c r="O107" s="7">
        <f t="shared" si="1"/>
        <v>1335</v>
      </c>
      <c r="P107" s="7">
        <v>2115</v>
      </c>
      <c r="Q107" s="8">
        <v>0.627</v>
      </c>
      <c r="R107" s="9">
        <v>195.7</v>
      </c>
      <c r="S107" s="6">
        <v>251</v>
      </c>
      <c r="T107" s="6">
        <v>34</v>
      </c>
      <c r="U107" s="6">
        <v>54</v>
      </c>
      <c r="V107" s="6">
        <v>97</v>
      </c>
      <c r="W107" s="6">
        <v>78</v>
      </c>
      <c r="X107" s="6">
        <v>16</v>
      </c>
      <c r="Y107" s="6">
        <v>6</v>
      </c>
      <c r="Z107" s="10">
        <v>3.2</v>
      </c>
      <c r="AA107" s="11" t="s">
        <v>587</v>
      </c>
      <c r="AB107" s="3" t="s">
        <v>103</v>
      </c>
      <c r="AC107" s="3"/>
      <c r="AD107" s="3" t="s">
        <v>588</v>
      </c>
      <c r="AE107" s="11" t="s">
        <v>589</v>
      </c>
    </row>
    <row r="108" spans="1:31" x14ac:dyDescent="0.25">
      <c r="A108" s="2" t="s">
        <v>590</v>
      </c>
      <c r="B108" s="3" t="s">
        <v>34</v>
      </c>
      <c r="C108" s="3" t="s">
        <v>35</v>
      </c>
      <c r="D108" s="4" t="s">
        <v>68</v>
      </c>
      <c r="E108" s="3" t="s">
        <v>591</v>
      </c>
      <c r="F108" s="3" t="s">
        <v>592</v>
      </c>
      <c r="G108" s="4" t="s">
        <v>593</v>
      </c>
      <c r="H108" s="3" t="s">
        <v>39</v>
      </c>
      <c r="I108" s="5">
        <v>45.1283107</v>
      </c>
      <c r="J108" s="5">
        <v>6.0710746499999999</v>
      </c>
      <c r="K108" s="6">
        <v>1336</v>
      </c>
      <c r="L108" s="3" t="s">
        <v>72</v>
      </c>
      <c r="M108" s="7">
        <v>1124</v>
      </c>
      <c r="N108" s="7">
        <v>3314</v>
      </c>
      <c r="O108" s="7">
        <f t="shared" si="1"/>
        <v>2190</v>
      </c>
      <c r="P108" s="7">
        <v>1975</v>
      </c>
      <c r="Q108" s="8">
        <v>0.45</v>
      </c>
      <c r="R108" s="9">
        <v>190.2</v>
      </c>
      <c r="S108" s="6">
        <v>350</v>
      </c>
      <c r="T108" s="6">
        <v>82</v>
      </c>
      <c r="U108" s="6">
        <v>131</v>
      </c>
      <c r="V108" s="6">
        <v>89</v>
      </c>
      <c r="W108" s="6">
        <v>75</v>
      </c>
      <c r="X108" s="6">
        <v>33</v>
      </c>
      <c r="Y108" s="6">
        <v>22</v>
      </c>
      <c r="Z108" s="10">
        <v>0.08</v>
      </c>
      <c r="AA108" s="11" t="s">
        <v>594</v>
      </c>
      <c r="AB108" s="3"/>
      <c r="AC108" s="3"/>
      <c r="AD108" s="3" t="s">
        <v>76</v>
      </c>
      <c r="AE108" s="11" t="s">
        <v>595</v>
      </c>
    </row>
    <row r="109" spans="1:31" x14ac:dyDescent="0.25">
      <c r="A109" s="2" t="s">
        <v>596</v>
      </c>
      <c r="B109" s="3" t="s">
        <v>34</v>
      </c>
      <c r="C109" s="3" t="s">
        <v>35</v>
      </c>
      <c r="D109" s="4" t="s">
        <v>36</v>
      </c>
      <c r="E109" s="3" t="s">
        <v>561</v>
      </c>
      <c r="F109" s="3" t="s">
        <v>597</v>
      </c>
      <c r="G109" s="4" t="s">
        <v>598</v>
      </c>
      <c r="H109" s="3" t="s">
        <v>39</v>
      </c>
      <c r="I109" s="5">
        <v>45.950513999999998</v>
      </c>
      <c r="J109" s="5">
        <v>6.7299290000000003</v>
      </c>
      <c r="K109" s="6">
        <v>1303</v>
      </c>
      <c r="L109" s="3" t="s">
        <v>599</v>
      </c>
      <c r="M109" s="7">
        <v>1329</v>
      </c>
      <c r="N109" s="7">
        <v>1723</v>
      </c>
      <c r="O109" s="7">
        <f t="shared" si="1"/>
        <v>394</v>
      </c>
      <c r="P109" s="7">
        <v>1503</v>
      </c>
      <c r="Q109" s="8">
        <v>0</v>
      </c>
      <c r="R109" s="9">
        <v>7.6</v>
      </c>
      <c r="S109" s="6">
        <v>16</v>
      </c>
      <c r="T109" s="6">
        <v>7</v>
      </c>
      <c r="U109" s="6">
        <v>4</v>
      </c>
      <c r="V109" s="6">
        <v>8</v>
      </c>
      <c r="W109" s="6">
        <v>4</v>
      </c>
      <c r="X109" s="6"/>
      <c r="Y109" s="6"/>
      <c r="Z109" s="10">
        <v>0.79</v>
      </c>
      <c r="AA109" s="11" t="s">
        <v>600</v>
      </c>
      <c r="AB109" s="3" t="s">
        <v>57</v>
      </c>
      <c r="AC109" s="3"/>
      <c r="AD109" s="3" t="s">
        <v>601</v>
      </c>
      <c r="AE109" s="11" t="s">
        <v>602</v>
      </c>
    </row>
    <row r="110" spans="1:31" x14ac:dyDescent="0.25">
      <c r="A110" s="2" t="s">
        <v>603</v>
      </c>
      <c r="B110" s="3" t="s">
        <v>34</v>
      </c>
      <c r="C110" s="3" t="s">
        <v>35</v>
      </c>
      <c r="D110" s="4" t="s">
        <v>44</v>
      </c>
      <c r="E110" s="3" t="s">
        <v>52</v>
      </c>
      <c r="F110" s="3" t="s">
        <v>604</v>
      </c>
      <c r="G110" s="4" t="s">
        <v>605</v>
      </c>
      <c r="H110" s="3" t="s">
        <v>39</v>
      </c>
      <c r="I110" s="5">
        <v>45.542400000000001</v>
      </c>
      <c r="J110" s="5">
        <v>6.7553999999999998</v>
      </c>
      <c r="K110" s="6">
        <v>1239</v>
      </c>
      <c r="L110" s="3" t="s">
        <v>55</v>
      </c>
      <c r="M110" s="7">
        <v>1199</v>
      </c>
      <c r="N110" s="7">
        <v>3216</v>
      </c>
      <c r="O110" s="7">
        <f t="shared" si="1"/>
        <v>2017</v>
      </c>
      <c r="P110" s="7">
        <v>2076</v>
      </c>
      <c r="Q110" s="8">
        <v>0.59799999999999998</v>
      </c>
      <c r="R110" s="9">
        <v>487.8</v>
      </c>
      <c r="S110" s="6">
        <v>680</v>
      </c>
      <c r="T110" s="6">
        <v>87</v>
      </c>
      <c r="U110" s="6">
        <v>47</v>
      </c>
      <c r="V110" s="6">
        <v>395</v>
      </c>
      <c r="W110" s="6">
        <v>150</v>
      </c>
      <c r="X110" s="6">
        <v>60</v>
      </c>
      <c r="Y110" s="6">
        <v>28</v>
      </c>
      <c r="Z110" s="10">
        <v>0.71</v>
      </c>
      <c r="AA110" s="11" t="s">
        <v>606</v>
      </c>
      <c r="AB110" s="3" t="s">
        <v>103</v>
      </c>
      <c r="AC110" s="11" t="s">
        <v>607</v>
      </c>
      <c r="AD110" s="3" t="s">
        <v>58</v>
      </c>
      <c r="AE110" s="11" t="s">
        <v>608</v>
      </c>
    </row>
    <row r="111" spans="1:31" x14ac:dyDescent="0.25">
      <c r="A111" s="2" t="s">
        <v>609</v>
      </c>
      <c r="B111" s="3" t="s">
        <v>158</v>
      </c>
      <c r="C111" s="3" t="s">
        <v>35</v>
      </c>
      <c r="D111" s="4" t="s">
        <v>68</v>
      </c>
      <c r="E111" s="3" t="s">
        <v>610</v>
      </c>
      <c r="F111" s="3" t="s">
        <v>611</v>
      </c>
      <c r="G111" s="4" t="s">
        <v>612</v>
      </c>
      <c r="H111" s="3" t="s">
        <v>39</v>
      </c>
      <c r="I111" s="5">
        <v>45.264980000000001</v>
      </c>
      <c r="J111" s="5">
        <v>6.0154800000000002</v>
      </c>
      <c r="K111" s="6">
        <v>1563</v>
      </c>
      <c r="L111" s="3" t="s">
        <v>429</v>
      </c>
      <c r="M111" s="7">
        <v>1330</v>
      </c>
      <c r="N111" s="7">
        <v>2373</v>
      </c>
      <c r="O111" s="7">
        <f t="shared" si="1"/>
        <v>1043</v>
      </c>
      <c r="P111" s="7">
        <v>1743</v>
      </c>
      <c r="Q111" s="8">
        <v>0.16200000000000001</v>
      </c>
      <c r="R111" s="9">
        <v>53.8</v>
      </c>
      <c r="S111" s="6">
        <v>102</v>
      </c>
      <c r="T111" s="6">
        <v>23</v>
      </c>
      <c r="U111" s="6">
        <v>32</v>
      </c>
      <c r="V111" s="6">
        <v>31</v>
      </c>
      <c r="W111" s="6">
        <v>25</v>
      </c>
      <c r="X111" s="6">
        <v>12</v>
      </c>
      <c r="Y111" s="6">
        <v>2</v>
      </c>
      <c r="Z111" s="10">
        <v>0.05</v>
      </c>
      <c r="AA111" s="11" t="s">
        <v>430</v>
      </c>
      <c r="AB111" s="3" t="s">
        <v>85</v>
      </c>
      <c r="AC111" s="3"/>
      <c r="AD111" s="3" t="s">
        <v>431</v>
      </c>
      <c r="AE111" s="3"/>
    </row>
    <row r="112" spans="1:31" x14ac:dyDescent="0.25">
      <c r="A112" s="2" t="s">
        <v>613</v>
      </c>
      <c r="B112" s="3" t="s">
        <v>34</v>
      </c>
      <c r="C112" s="3" t="s">
        <v>35</v>
      </c>
      <c r="D112" s="4" t="s">
        <v>44</v>
      </c>
      <c r="E112" s="3" t="s">
        <v>52</v>
      </c>
      <c r="F112" s="3" t="s">
        <v>143</v>
      </c>
      <c r="G112" s="4" t="s">
        <v>144</v>
      </c>
      <c r="H112" s="3" t="s">
        <v>39</v>
      </c>
      <c r="I112" s="5">
        <v>45.508719999999997</v>
      </c>
      <c r="J112" s="5">
        <v>6.6768999999999998</v>
      </c>
      <c r="K112" s="6">
        <v>1914</v>
      </c>
      <c r="L112" s="3" t="s">
        <v>55</v>
      </c>
      <c r="M112" s="7">
        <v>1199</v>
      </c>
      <c r="N112" s="7">
        <v>3216</v>
      </c>
      <c r="O112" s="7">
        <f t="shared" si="1"/>
        <v>2017</v>
      </c>
      <c r="P112" s="7">
        <v>2076</v>
      </c>
      <c r="Q112" s="8">
        <v>0.59799999999999998</v>
      </c>
      <c r="R112" s="9">
        <v>487.8</v>
      </c>
      <c r="S112" s="6">
        <v>680</v>
      </c>
      <c r="T112" s="6">
        <v>87</v>
      </c>
      <c r="U112" s="6">
        <v>47</v>
      </c>
      <c r="V112" s="6">
        <v>395</v>
      </c>
      <c r="W112" s="6">
        <v>150</v>
      </c>
      <c r="X112" s="6">
        <v>60</v>
      </c>
      <c r="Y112" s="6">
        <v>28</v>
      </c>
      <c r="Z112" s="10">
        <v>0.08</v>
      </c>
      <c r="AA112" s="11" t="s">
        <v>56</v>
      </c>
      <c r="AB112" s="3" t="s">
        <v>57</v>
      </c>
      <c r="AC112" s="3"/>
      <c r="AD112" s="3" t="s">
        <v>58</v>
      </c>
      <c r="AE112" s="3"/>
    </row>
    <row r="113" spans="1:31" x14ac:dyDescent="0.25">
      <c r="A113" s="2" t="s">
        <v>614</v>
      </c>
      <c r="B113" s="3" t="s">
        <v>34</v>
      </c>
      <c r="C113" s="3" t="s">
        <v>35</v>
      </c>
      <c r="D113" s="4" t="s">
        <v>44</v>
      </c>
      <c r="E113" s="3" t="s">
        <v>52</v>
      </c>
      <c r="F113" s="3" t="s">
        <v>143</v>
      </c>
      <c r="G113" s="4" t="s">
        <v>144</v>
      </c>
      <c r="H113" s="3" t="s">
        <v>39</v>
      </c>
      <c r="I113" s="5">
        <v>45.51294</v>
      </c>
      <c r="J113" s="5">
        <v>6.6983499999999996</v>
      </c>
      <c r="K113" s="6">
        <v>1925</v>
      </c>
      <c r="L113" s="3" t="s">
        <v>55</v>
      </c>
      <c r="M113" s="7">
        <v>1199</v>
      </c>
      <c r="N113" s="7">
        <v>3216</v>
      </c>
      <c r="O113" s="7">
        <f t="shared" si="1"/>
        <v>2017</v>
      </c>
      <c r="P113" s="7">
        <v>2076</v>
      </c>
      <c r="Q113" s="8">
        <v>0.59799999999999998</v>
      </c>
      <c r="R113" s="9">
        <v>487.8</v>
      </c>
      <c r="S113" s="6">
        <v>680</v>
      </c>
      <c r="T113" s="6">
        <v>87</v>
      </c>
      <c r="U113" s="6">
        <v>47</v>
      </c>
      <c r="V113" s="6">
        <v>395</v>
      </c>
      <c r="W113" s="6">
        <v>150</v>
      </c>
      <c r="X113" s="6">
        <v>60</v>
      </c>
      <c r="Y113" s="6">
        <v>28</v>
      </c>
      <c r="Z113" s="10">
        <v>0.03</v>
      </c>
      <c r="AA113" s="11" t="s">
        <v>56</v>
      </c>
      <c r="AB113" s="3" t="s">
        <v>57</v>
      </c>
      <c r="AC113" s="3"/>
      <c r="AD113" s="3" t="s">
        <v>58</v>
      </c>
      <c r="AE113" s="3"/>
    </row>
    <row r="114" spans="1:31" x14ac:dyDescent="0.25">
      <c r="A114" s="2" t="s">
        <v>343</v>
      </c>
      <c r="B114" s="3" t="s">
        <v>34</v>
      </c>
      <c r="C114" s="3" t="s">
        <v>35</v>
      </c>
      <c r="D114" s="4" t="s">
        <v>44</v>
      </c>
      <c r="E114" s="3" t="s">
        <v>52</v>
      </c>
      <c r="F114" s="3" t="s">
        <v>143</v>
      </c>
      <c r="G114" s="4" t="s">
        <v>144</v>
      </c>
      <c r="H114" s="3" t="s">
        <v>39</v>
      </c>
      <c r="I114" s="5">
        <v>45.507510000000003</v>
      </c>
      <c r="J114" s="5">
        <v>6.6769100000000003</v>
      </c>
      <c r="K114" s="6">
        <v>1964</v>
      </c>
      <c r="L114" s="3" t="s">
        <v>55</v>
      </c>
      <c r="M114" s="7">
        <v>1199</v>
      </c>
      <c r="N114" s="7">
        <v>3216</v>
      </c>
      <c r="O114" s="7">
        <f t="shared" si="1"/>
        <v>2017</v>
      </c>
      <c r="P114" s="7">
        <v>2076</v>
      </c>
      <c r="Q114" s="8">
        <v>0.59799999999999998</v>
      </c>
      <c r="R114" s="9">
        <v>487.8</v>
      </c>
      <c r="S114" s="6">
        <v>680</v>
      </c>
      <c r="T114" s="6">
        <v>87</v>
      </c>
      <c r="U114" s="6">
        <v>47</v>
      </c>
      <c r="V114" s="6">
        <v>395</v>
      </c>
      <c r="W114" s="6">
        <v>150</v>
      </c>
      <c r="X114" s="6">
        <v>60</v>
      </c>
      <c r="Y114" s="6">
        <v>28</v>
      </c>
      <c r="Z114" s="10">
        <v>0.14000000000000001</v>
      </c>
      <c r="AA114" s="11" t="s">
        <v>56</v>
      </c>
      <c r="AB114" s="3" t="s">
        <v>57</v>
      </c>
      <c r="AC114" s="3"/>
      <c r="AD114" s="3" t="s">
        <v>58</v>
      </c>
      <c r="AE114" s="3"/>
    </row>
    <row r="115" spans="1:31" x14ac:dyDescent="0.25">
      <c r="A115" s="2" t="s">
        <v>615</v>
      </c>
      <c r="B115" s="3" t="s">
        <v>34</v>
      </c>
      <c r="C115" s="3" t="s">
        <v>35</v>
      </c>
      <c r="D115" s="4" t="s">
        <v>44</v>
      </c>
      <c r="E115" s="3" t="s">
        <v>52</v>
      </c>
      <c r="F115" s="3" t="s">
        <v>143</v>
      </c>
      <c r="G115" s="4" t="s">
        <v>144</v>
      </c>
      <c r="H115" s="3" t="s">
        <v>39</v>
      </c>
      <c r="I115" s="5">
        <v>45.506390000000003</v>
      </c>
      <c r="J115" s="5">
        <v>6.6852499999999999</v>
      </c>
      <c r="K115" s="6">
        <v>2062</v>
      </c>
      <c r="L115" s="3" t="s">
        <v>55</v>
      </c>
      <c r="M115" s="7">
        <v>1199</v>
      </c>
      <c r="N115" s="7">
        <v>3216</v>
      </c>
      <c r="O115" s="7">
        <f t="shared" si="1"/>
        <v>2017</v>
      </c>
      <c r="P115" s="7">
        <v>2076</v>
      </c>
      <c r="Q115" s="8">
        <v>0.59799999999999998</v>
      </c>
      <c r="R115" s="9">
        <v>487.8</v>
      </c>
      <c r="S115" s="6">
        <v>680</v>
      </c>
      <c r="T115" s="6">
        <v>87</v>
      </c>
      <c r="U115" s="6">
        <v>47</v>
      </c>
      <c r="V115" s="6">
        <v>395</v>
      </c>
      <c r="W115" s="6">
        <v>150</v>
      </c>
      <c r="X115" s="6">
        <v>60</v>
      </c>
      <c r="Y115" s="6">
        <v>28</v>
      </c>
      <c r="Z115" s="10">
        <v>0.06</v>
      </c>
      <c r="AA115" s="11" t="s">
        <v>56</v>
      </c>
      <c r="AB115" s="3" t="s">
        <v>57</v>
      </c>
      <c r="AC115" s="3"/>
      <c r="AD115" s="3" t="s">
        <v>58</v>
      </c>
      <c r="AE115" s="3"/>
    </row>
    <row r="116" spans="1:31" x14ac:dyDescent="0.25">
      <c r="A116" s="2" t="s">
        <v>616</v>
      </c>
      <c r="B116" s="3" t="s">
        <v>34</v>
      </c>
      <c r="C116" s="3" t="s">
        <v>35</v>
      </c>
      <c r="D116" s="4" t="s">
        <v>44</v>
      </c>
      <c r="E116" s="3" t="s">
        <v>52</v>
      </c>
      <c r="F116" s="3" t="s">
        <v>143</v>
      </c>
      <c r="G116" s="4" t="s">
        <v>144</v>
      </c>
      <c r="H116" s="3" t="s">
        <v>39</v>
      </c>
      <c r="I116" s="5">
        <v>45.504959999999997</v>
      </c>
      <c r="J116" s="5">
        <v>6.6870900000000004</v>
      </c>
      <c r="K116" s="6">
        <v>2097</v>
      </c>
      <c r="L116" s="3" t="s">
        <v>55</v>
      </c>
      <c r="M116" s="7">
        <v>1199</v>
      </c>
      <c r="N116" s="7">
        <v>3216</v>
      </c>
      <c r="O116" s="7">
        <f t="shared" si="1"/>
        <v>2017</v>
      </c>
      <c r="P116" s="7">
        <v>2076</v>
      </c>
      <c r="Q116" s="8">
        <v>0.59799999999999998</v>
      </c>
      <c r="R116" s="9">
        <v>487.8</v>
      </c>
      <c r="S116" s="6">
        <v>680</v>
      </c>
      <c r="T116" s="6">
        <v>87</v>
      </c>
      <c r="U116" s="6">
        <v>47</v>
      </c>
      <c r="V116" s="6">
        <v>395</v>
      </c>
      <c r="W116" s="6">
        <v>150</v>
      </c>
      <c r="X116" s="6">
        <v>60</v>
      </c>
      <c r="Y116" s="6">
        <v>28</v>
      </c>
      <c r="Z116" s="10">
        <v>0.02</v>
      </c>
      <c r="AA116" s="11" t="s">
        <v>56</v>
      </c>
      <c r="AB116" s="3" t="s">
        <v>57</v>
      </c>
      <c r="AC116" s="3"/>
      <c r="AD116" s="3" t="s">
        <v>58</v>
      </c>
      <c r="AE116" s="3"/>
    </row>
    <row r="117" spans="1:31" x14ac:dyDescent="0.25">
      <c r="A117" s="2" t="s">
        <v>617</v>
      </c>
      <c r="B117" s="3" t="s">
        <v>34</v>
      </c>
      <c r="C117" s="3" t="s">
        <v>35</v>
      </c>
      <c r="D117" s="4" t="s">
        <v>36</v>
      </c>
      <c r="E117" s="3" t="s">
        <v>522</v>
      </c>
      <c r="F117" s="3" t="s">
        <v>523</v>
      </c>
      <c r="G117" s="4" t="s">
        <v>524</v>
      </c>
      <c r="H117" s="3" t="s">
        <v>39</v>
      </c>
      <c r="I117" s="5">
        <v>45.856769999999997</v>
      </c>
      <c r="J117" s="5">
        <v>6.3812600000000002</v>
      </c>
      <c r="K117" s="6">
        <v>886</v>
      </c>
      <c r="L117" s="3" t="s">
        <v>310</v>
      </c>
      <c r="M117" s="7">
        <v>1030</v>
      </c>
      <c r="N117" s="7">
        <v>2476</v>
      </c>
      <c r="O117" s="7">
        <f t="shared" si="1"/>
        <v>1446</v>
      </c>
      <c r="P117" s="7">
        <v>1541</v>
      </c>
      <c r="Q117" s="8">
        <v>0.104</v>
      </c>
      <c r="R117" s="9">
        <v>97.1</v>
      </c>
      <c r="S117" s="6">
        <v>148</v>
      </c>
      <c r="T117" s="6">
        <v>51</v>
      </c>
      <c r="U117" s="6">
        <v>29</v>
      </c>
      <c r="V117" s="6">
        <v>60</v>
      </c>
      <c r="W117" s="6">
        <v>47</v>
      </c>
      <c r="X117" s="6">
        <v>11</v>
      </c>
      <c r="Y117" s="6">
        <v>1</v>
      </c>
      <c r="Z117" s="10">
        <v>2.17</v>
      </c>
      <c r="AA117" s="3"/>
      <c r="AB117" s="3"/>
      <c r="AC117" s="3"/>
      <c r="AD117" s="3" t="s">
        <v>315</v>
      </c>
      <c r="AE117" s="11" t="s">
        <v>618</v>
      </c>
    </row>
    <row r="118" spans="1:31" x14ac:dyDescent="0.25">
      <c r="A118" s="2" t="s">
        <v>619</v>
      </c>
      <c r="B118" s="3" t="s">
        <v>34</v>
      </c>
      <c r="C118" s="3" t="s">
        <v>35</v>
      </c>
      <c r="D118" s="4" t="s">
        <v>44</v>
      </c>
      <c r="E118" s="3" t="s">
        <v>620</v>
      </c>
      <c r="F118" s="3" t="s">
        <v>621</v>
      </c>
      <c r="G118" s="4" t="s">
        <v>622</v>
      </c>
      <c r="H118" s="3" t="s">
        <v>39</v>
      </c>
      <c r="I118" s="5">
        <v>45.383499999999998</v>
      </c>
      <c r="J118" s="5">
        <v>6.7194000000000003</v>
      </c>
      <c r="K118" s="6">
        <v>1414</v>
      </c>
      <c r="L118" s="3" t="s">
        <v>621</v>
      </c>
      <c r="M118" s="7">
        <v>1405</v>
      </c>
      <c r="N118" s="7">
        <v>2352</v>
      </c>
      <c r="O118" s="7">
        <f t="shared" si="1"/>
        <v>947</v>
      </c>
      <c r="P118" s="7">
        <v>1786</v>
      </c>
      <c r="Q118" s="8">
        <v>0.28899999999999998</v>
      </c>
      <c r="R118" s="9">
        <v>25.3</v>
      </c>
      <c r="S118" s="6">
        <v>41</v>
      </c>
      <c r="T118" s="6">
        <v>12</v>
      </c>
      <c r="U118" s="6">
        <v>19</v>
      </c>
      <c r="V118" s="6">
        <v>6</v>
      </c>
      <c r="W118" s="6">
        <v>11</v>
      </c>
      <c r="X118" s="6">
        <v>5</v>
      </c>
      <c r="Y118" s="6"/>
      <c r="Z118" s="10">
        <v>0.18</v>
      </c>
      <c r="AA118" s="11" t="s">
        <v>623</v>
      </c>
      <c r="AB118" s="3"/>
      <c r="AC118" s="11" t="s">
        <v>624</v>
      </c>
      <c r="AD118" s="3" t="s">
        <v>625</v>
      </c>
      <c r="AE118" s="11" t="s">
        <v>626</v>
      </c>
    </row>
    <row r="119" spans="1:31" x14ac:dyDescent="0.25">
      <c r="A119" s="2" t="s">
        <v>627</v>
      </c>
      <c r="B119" s="3" t="s">
        <v>158</v>
      </c>
      <c r="C119" s="3" t="s">
        <v>35</v>
      </c>
      <c r="D119" s="4" t="s">
        <v>68</v>
      </c>
      <c r="E119" s="3" t="s">
        <v>452</v>
      </c>
      <c r="F119" s="3" t="s">
        <v>453</v>
      </c>
      <c r="G119" s="4" t="s">
        <v>454</v>
      </c>
      <c r="H119" s="3" t="s">
        <v>39</v>
      </c>
      <c r="I119" s="5">
        <v>45.256779999999999</v>
      </c>
      <c r="J119" s="5">
        <v>5.9954400000000003</v>
      </c>
      <c r="K119" s="6">
        <v>1329</v>
      </c>
      <c r="L119" s="3" t="s">
        <v>429</v>
      </c>
      <c r="M119" s="7">
        <v>1330</v>
      </c>
      <c r="N119" s="7">
        <v>2373</v>
      </c>
      <c r="O119" s="7">
        <f t="shared" si="1"/>
        <v>1043</v>
      </c>
      <c r="P119" s="7">
        <v>1743</v>
      </c>
      <c r="Q119" s="8">
        <v>0.16200000000000001</v>
      </c>
      <c r="R119" s="9">
        <v>53.8</v>
      </c>
      <c r="S119" s="6">
        <v>102</v>
      </c>
      <c r="T119" s="6">
        <v>23</v>
      </c>
      <c r="U119" s="6">
        <v>32</v>
      </c>
      <c r="V119" s="6">
        <v>31</v>
      </c>
      <c r="W119" s="6">
        <v>25</v>
      </c>
      <c r="X119" s="6">
        <v>12</v>
      </c>
      <c r="Y119" s="6">
        <v>2</v>
      </c>
      <c r="Z119" s="10">
        <v>0.05</v>
      </c>
      <c r="AA119" s="11" t="s">
        <v>430</v>
      </c>
      <c r="AB119" s="3" t="s">
        <v>85</v>
      </c>
      <c r="AC119" s="3"/>
      <c r="AD119" s="3" t="s">
        <v>431</v>
      </c>
      <c r="AE119" s="3"/>
    </row>
    <row r="120" spans="1:31" x14ac:dyDescent="0.25">
      <c r="A120" s="2" t="s">
        <v>628</v>
      </c>
      <c r="B120" s="3" t="s">
        <v>34</v>
      </c>
      <c r="C120" s="3" t="s">
        <v>35</v>
      </c>
      <c r="D120" s="4" t="s">
        <v>36</v>
      </c>
      <c r="E120" s="3" t="s">
        <v>530</v>
      </c>
      <c r="F120" s="3" t="s">
        <v>629</v>
      </c>
      <c r="G120" s="4" t="s">
        <v>630</v>
      </c>
      <c r="H120" s="3" t="s">
        <v>39</v>
      </c>
      <c r="I120" s="5">
        <v>45.834871999999997</v>
      </c>
      <c r="J120" s="5">
        <v>6.5686150000000003</v>
      </c>
      <c r="K120" s="6">
        <v>1004</v>
      </c>
      <c r="L120" s="3" t="s">
        <v>161</v>
      </c>
      <c r="M120" s="7">
        <v>949</v>
      </c>
      <c r="N120" s="7">
        <v>2054</v>
      </c>
      <c r="O120" s="7">
        <f t="shared" si="1"/>
        <v>1105</v>
      </c>
      <c r="P120" s="7">
        <v>1660</v>
      </c>
      <c r="Q120" s="8">
        <v>1.4E-2</v>
      </c>
      <c r="R120" s="9">
        <v>225.6</v>
      </c>
      <c r="S120" s="6">
        <v>333</v>
      </c>
      <c r="T120" s="6">
        <v>85</v>
      </c>
      <c r="U120" s="6">
        <v>68</v>
      </c>
      <c r="V120" s="6">
        <v>165</v>
      </c>
      <c r="W120" s="6">
        <v>74</v>
      </c>
      <c r="X120" s="6">
        <v>13</v>
      </c>
      <c r="Y120" s="6">
        <v>13</v>
      </c>
      <c r="Z120" s="10">
        <v>0.18</v>
      </c>
      <c r="AA120" s="3"/>
      <c r="AB120" s="3"/>
      <c r="AC120" s="3"/>
      <c r="AD120" s="3" t="s">
        <v>163</v>
      </c>
      <c r="AE120" s="11" t="s">
        <v>631</v>
      </c>
    </row>
    <row r="121" spans="1:31" x14ac:dyDescent="0.25">
      <c r="A121" s="2" t="s">
        <v>632</v>
      </c>
      <c r="B121" s="3" t="s">
        <v>158</v>
      </c>
      <c r="C121" s="3" t="s">
        <v>35</v>
      </c>
      <c r="D121" s="4" t="s">
        <v>44</v>
      </c>
      <c r="E121" s="3" t="s">
        <v>500</v>
      </c>
      <c r="F121" s="3" t="s">
        <v>501</v>
      </c>
      <c r="G121" s="4" t="s">
        <v>502</v>
      </c>
      <c r="H121" s="3" t="s">
        <v>39</v>
      </c>
      <c r="I121" s="5">
        <v>45.316070000000003</v>
      </c>
      <c r="J121" s="5">
        <v>6.53979</v>
      </c>
      <c r="K121" s="6">
        <v>1798</v>
      </c>
      <c r="L121" s="3" t="s">
        <v>174</v>
      </c>
      <c r="M121" s="7">
        <v>1110</v>
      </c>
      <c r="N121" s="7">
        <v>3223</v>
      </c>
      <c r="O121" s="7">
        <f t="shared" si="1"/>
        <v>2113</v>
      </c>
      <c r="P121" s="7">
        <v>2252</v>
      </c>
      <c r="Q121" s="8">
        <v>0.72799999999999998</v>
      </c>
      <c r="R121" s="9">
        <v>771.4</v>
      </c>
      <c r="S121" s="6">
        <v>871</v>
      </c>
      <c r="T121" s="6">
        <v>142</v>
      </c>
      <c r="U121" s="6">
        <v>168</v>
      </c>
      <c r="V121" s="6">
        <v>422</v>
      </c>
      <c r="W121" s="6">
        <v>222</v>
      </c>
      <c r="X121" s="6">
        <v>55</v>
      </c>
      <c r="Y121" s="6">
        <v>4</v>
      </c>
      <c r="Z121" s="10">
        <v>0.01</v>
      </c>
      <c r="AA121" s="11" t="s">
        <v>633</v>
      </c>
      <c r="AB121" s="3" t="s">
        <v>103</v>
      </c>
      <c r="AC121" s="3"/>
      <c r="AD121" s="3" t="s">
        <v>177</v>
      </c>
      <c r="AE121" s="3"/>
    </row>
    <row r="122" spans="1:31" x14ac:dyDescent="0.25">
      <c r="A122" s="20" t="s">
        <v>634</v>
      </c>
      <c r="B122" s="3" t="s">
        <v>34</v>
      </c>
      <c r="C122" s="3" t="s">
        <v>35</v>
      </c>
      <c r="D122" s="4" t="s">
        <v>44</v>
      </c>
      <c r="E122" s="3" t="s">
        <v>635</v>
      </c>
      <c r="F122" s="3" t="s">
        <v>636</v>
      </c>
      <c r="G122" s="4" t="s">
        <v>637</v>
      </c>
      <c r="H122" s="3" t="s">
        <v>39</v>
      </c>
      <c r="I122" s="5">
        <v>45.294719999999998</v>
      </c>
      <c r="J122" s="5">
        <v>6.2266700000000004</v>
      </c>
      <c r="K122" s="6">
        <v>1103</v>
      </c>
      <c r="L122" s="3" t="s">
        <v>638</v>
      </c>
      <c r="M122" s="7">
        <v>1083</v>
      </c>
      <c r="N122" s="7">
        <v>1232</v>
      </c>
      <c r="O122" s="7">
        <f t="shared" si="1"/>
        <v>149</v>
      </c>
      <c r="P122" s="7">
        <v>1144</v>
      </c>
      <c r="Q122" s="8">
        <v>0</v>
      </c>
      <c r="R122" s="9">
        <v>1.4</v>
      </c>
      <c r="S122" s="6">
        <v>5</v>
      </c>
      <c r="T122" s="6">
        <v>3</v>
      </c>
      <c r="U122" s="6">
        <v>4</v>
      </c>
      <c r="V122" s="6">
        <v>1</v>
      </c>
      <c r="W122" s="6"/>
      <c r="X122" s="6"/>
      <c r="Y122" s="6"/>
      <c r="Z122" s="10">
        <v>0.38</v>
      </c>
      <c r="AA122" s="11" t="s">
        <v>639</v>
      </c>
      <c r="AB122" s="3" t="s">
        <v>103</v>
      </c>
      <c r="AC122" s="3"/>
      <c r="AD122" s="3" t="s">
        <v>640</v>
      </c>
      <c r="AE122" s="11" t="s">
        <v>641</v>
      </c>
    </row>
    <row r="123" spans="1:31" x14ac:dyDescent="0.25">
      <c r="A123" s="2" t="s">
        <v>642</v>
      </c>
      <c r="B123" s="3" t="s">
        <v>34</v>
      </c>
      <c r="C123" s="3" t="s">
        <v>35</v>
      </c>
      <c r="D123" s="4" t="s">
        <v>44</v>
      </c>
      <c r="E123" s="3" t="s">
        <v>635</v>
      </c>
      <c r="F123" s="3" t="s">
        <v>643</v>
      </c>
      <c r="G123" s="4" t="s">
        <v>644</v>
      </c>
      <c r="H123" s="3" t="s">
        <v>39</v>
      </c>
      <c r="I123" s="5">
        <v>45.4101</v>
      </c>
      <c r="J123" s="5">
        <v>6.3476999999999997</v>
      </c>
      <c r="K123" s="6">
        <v>1412</v>
      </c>
      <c r="L123" s="3" t="s">
        <v>645</v>
      </c>
      <c r="M123" s="7">
        <v>1219</v>
      </c>
      <c r="N123" s="7">
        <v>2516</v>
      </c>
      <c r="O123" s="7">
        <f t="shared" si="1"/>
        <v>1297</v>
      </c>
      <c r="P123" s="7">
        <v>1821</v>
      </c>
      <c r="Q123" s="8">
        <v>0.187</v>
      </c>
      <c r="R123" s="9">
        <v>236.5</v>
      </c>
      <c r="S123" s="6">
        <v>280</v>
      </c>
      <c r="T123" s="6">
        <v>53</v>
      </c>
      <c r="U123" s="6">
        <v>75</v>
      </c>
      <c r="V123" s="6">
        <v>149</v>
      </c>
      <c r="W123" s="6">
        <v>34</v>
      </c>
      <c r="X123" s="6">
        <v>14</v>
      </c>
      <c r="Y123" s="6">
        <v>8</v>
      </c>
      <c r="Z123" s="10">
        <v>0.15</v>
      </c>
      <c r="AA123" s="11" t="s">
        <v>646</v>
      </c>
      <c r="AB123" s="3" t="s">
        <v>74</v>
      </c>
      <c r="AC123" s="11" t="s">
        <v>647</v>
      </c>
      <c r="AD123" s="3" t="s">
        <v>648</v>
      </c>
      <c r="AE123" s="11" t="s">
        <v>649</v>
      </c>
    </row>
    <row r="124" spans="1:31" x14ac:dyDescent="0.25">
      <c r="A124" s="20" t="s">
        <v>650</v>
      </c>
      <c r="B124" s="3" t="s">
        <v>34</v>
      </c>
      <c r="C124" s="3" t="s">
        <v>35</v>
      </c>
      <c r="D124" s="4" t="s">
        <v>68</v>
      </c>
      <c r="E124" s="3" t="s">
        <v>416</v>
      </c>
      <c r="F124" s="3" t="s">
        <v>420</v>
      </c>
      <c r="G124" s="4" t="s">
        <v>651</v>
      </c>
      <c r="H124" s="3" t="s">
        <v>39</v>
      </c>
      <c r="I124" s="5">
        <v>45.336840000000002</v>
      </c>
      <c r="J124" s="5">
        <v>5.8129299999999997</v>
      </c>
      <c r="K124" s="6">
        <v>905</v>
      </c>
      <c r="L124" s="3" t="s">
        <v>420</v>
      </c>
      <c r="M124" s="7">
        <v>1083</v>
      </c>
      <c r="N124" s="7">
        <v>1746</v>
      </c>
      <c r="O124" s="7">
        <f t="shared" si="1"/>
        <v>663</v>
      </c>
      <c r="P124" s="7">
        <v>1332</v>
      </c>
      <c r="Q124" s="8">
        <v>0</v>
      </c>
      <c r="R124" s="9">
        <v>7.2</v>
      </c>
      <c r="S124" s="6">
        <v>15</v>
      </c>
      <c r="T124" s="6">
        <v>10</v>
      </c>
      <c r="U124" s="6">
        <v>7</v>
      </c>
      <c r="V124" s="6">
        <v>5</v>
      </c>
      <c r="W124" s="6">
        <v>3</v>
      </c>
      <c r="X124" s="6"/>
      <c r="Y124" s="6"/>
      <c r="Z124" s="10">
        <v>1.91</v>
      </c>
      <c r="AA124" s="3"/>
      <c r="AB124" s="3"/>
      <c r="AC124" s="3"/>
      <c r="AD124" s="3" t="s">
        <v>421</v>
      </c>
      <c r="AE124" s="11" t="s">
        <v>652</v>
      </c>
    </row>
    <row r="125" spans="1:31" x14ac:dyDescent="0.25">
      <c r="A125" s="2" t="s">
        <v>653</v>
      </c>
      <c r="B125" s="3" t="s">
        <v>34</v>
      </c>
      <c r="C125" s="3" t="s">
        <v>35</v>
      </c>
      <c r="D125" s="4" t="s">
        <v>44</v>
      </c>
      <c r="E125" s="3" t="s">
        <v>500</v>
      </c>
      <c r="F125" s="3" t="s">
        <v>501</v>
      </c>
      <c r="G125" s="4" t="s">
        <v>502</v>
      </c>
      <c r="H125" s="3" t="s">
        <v>39</v>
      </c>
      <c r="I125" s="5">
        <v>45.381</v>
      </c>
      <c r="J125" s="5">
        <v>6.5035999999999996</v>
      </c>
      <c r="K125" s="6">
        <v>1349</v>
      </c>
      <c r="L125" s="3" t="s">
        <v>174</v>
      </c>
      <c r="M125" s="7">
        <v>1110</v>
      </c>
      <c r="N125" s="7">
        <v>3223</v>
      </c>
      <c r="O125" s="7">
        <f t="shared" si="1"/>
        <v>2113</v>
      </c>
      <c r="P125" s="7">
        <v>2252</v>
      </c>
      <c r="Q125" s="8">
        <v>0.72799999999999998</v>
      </c>
      <c r="R125" s="9">
        <v>771.4</v>
      </c>
      <c r="S125" s="6">
        <v>871</v>
      </c>
      <c r="T125" s="6">
        <v>142</v>
      </c>
      <c r="U125" s="6">
        <v>168</v>
      </c>
      <c r="V125" s="6">
        <v>422</v>
      </c>
      <c r="W125" s="6">
        <v>222</v>
      </c>
      <c r="X125" s="6">
        <v>55</v>
      </c>
      <c r="Y125" s="6">
        <v>4</v>
      </c>
      <c r="Z125" s="10">
        <v>0.2</v>
      </c>
      <c r="AA125" s="11" t="s">
        <v>654</v>
      </c>
      <c r="AB125" s="3" t="s">
        <v>103</v>
      </c>
      <c r="AC125" s="11" t="s">
        <v>655</v>
      </c>
      <c r="AD125" s="3" t="s">
        <v>177</v>
      </c>
      <c r="AE125" s="11" t="s">
        <v>656</v>
      </c>
    </row>
    <row r="126" spans="1:31" x14ac:dyDescent="0.25">
      <c r="A126" s="2" t="s">
        <v>657</v>
      </c>
      <c r="B126" s="3" t="s">
        <v>34</v>
      </c>
      <c r="C126" s="3" t="s">
        <v>35</v>
      </c>
      <c r="D126" s="4" t="s">
        <v>44</v>
      </c>
      <c r="E126" s="3" t="s">
        <v>658</v>
      </c>
      <c r="F126" s="3" t="s">
        <v>659</v>
      </c>
      <c r="G126" s="4" t="s">
        <v>660</v>
      </c>
      <c r="H126" s="3" t="s">
        <v>39</v>
      </c>
      <c r="I126" s="5">
        <v>45.220100000000002</v>
      </c>
      <c r="J126" s="5">
        <v>6.2361000000000004</v>
      </c>
      <c r="K126" s="6">
        <v>1499</v>
      </c>
      <c r="L126" s="3" t="s">
        <v>359</v>
      </c>
      <c r="M126" s="7">
        <v>1276</v>
      </c>
      <c r="N126" s="7">
        <v>2588</v>
      </c>
      <c r="O126" s="7">
        <f t="shared" si="1"/>
        <v>1312</v>
      </c>
      <c r="P126" s="7">
        <v>1940</v>
      </c>
      <c r="Q126" s="8">
        <v>0.42499999999999999</v>
      </c>
      <c r="R126" s="9">
        <v>153.19999999999999</v>
      </c>
      <c r="S126" s="6">
        <v>231</v>
      </c>
      <c r="T126" s="6">
        <v>65</v>
      </c>
      <c r="U126" s="6">
        <v>58</v>
      </c>
      <c r="V126" s="6">
        <v>99</v>
      </c>
      <c r="W126" s="6">
        <v>50</v>
      </c>
      <c r="X126" s="6">
        <v>18</v>
      </c>
      <c r="Y126" s="6">
        <v>6</v>
      </c>
      <c r="Z126" s="10">
        <v>0.32</v>
      </c>
      <c r="AA126" s="11" t="s">
        <v>661</v>
      </c>
      <c r="AB126" s="3" t="s">
        <v>85</v>
      </c>
      <c r="AC126" s="11" t="s">
        <v>662</v>
      </c>
      <c r="AD126" s="3" t="s">
        <v>361</v>
      </c>
      <c r="AE126" s="11" t="s">
        <v>663</v>
      </c>
    </row>
    <row r="127" spans="1:31" x14ac:dyDescent="0.25">
      <c r="A127" s="2" t="s">
        <v>664</v>
      </c>
      <c r="B127" s="3" t="s">
        <v>34</v>
      </c>
      <c r="C127" s="3" t="s">
        <v>35</v>
      </c>
      <c r="D127" s="4" t="s">
        <v>36</v>
      </c>
      <c r="E127" s="3" t="s">
        <v>384</v>
      </c>
      <c r="F127" s="3" t="s">
        <v>385</v>
      </c>
      <c r="G127" s="4" t="s">
        <v>386</v>
      </c>
      <c r="H127" s="3" t="s">
        <v>39</v>
      </c>
      <c r="I127" s="5">
        <v>45.893028000000001</v>
      </c>
      <c r="J127" s="5">
        <v>6.7116550000000004</v>
      </c>
      <c r="K127" s="6">
        <v>808</v>
      </c>
      <c r="L127" s="3" t="s">
        <v>387</v>
      </c>
      <c r="M127" s="7">
        <v>820</v>
      </c>
      <c r="N127" s="7">
        <v>2373</v>
      </c>
      <c r="O127" s="7">
        <f t="shared" si="1"/>
        <v>1553</v>
      </c>
      <c r="P127" s="7">
        <v>1650</v>
      </c>
      <c r="Q127" s="8">
        <v>4.3999999999999997E-2</v>
      </c>
      <c r="R127" s="9">
        <v>159.5</v>
      </c>
      <c r="S127" s="6">
        <v>245</v>
      </c>
      <c r="T127" s="6">
        <v>61</v>
      </c>
      <c r="U127" s="6">
        <v>54</v>
      </c>
      <c r="V127" s="6">
        <v>66</v>
      </c>
      <c r="W127" s="6">
        <v>85</v>
      </c>
      <c r="X127" s="6">
        <v>28</v>
      </c>
      <c r="Y127" s="6">
        <v>12</v>
      </c>
      <c r="Z127" s="10">
        <v>0.57999999999999996</v>
      </c>
      <c r="AA127" s="3"/>
      <c r="AB127" s="3"/>
      <c r="AC127" s="3"/>
      <c r="AD127" s="3" t="s">
        <v>388</v>
      </c>
      <c r="AE127" s="11" t="s">
        <v>665</v>
      </c>
    </row>
    <row r="128" spans="1:31" x14ac:dyDescent="0.25">
      <c r="A128" s="2" t="s">
        <v>666</v>
      </c>
      <c r="B128" s="3" t="s">
        <v>34</v>
      </c>
      <c r="C128" s="3" t="s">
        <v>35</v>
      </c>
      <c r="D128" s="4" t="s">
        <v>68</v>
      </c>
      <c r="E128" s="3" t="s">
        <v>396</v>
      </c>
      <c r="F128" s="3" t="s">
        <v>397</v>
      </c>
      <c r="G128" s="4" t="s">
        <v>398</v>
      </c>
      <c r="H128" s="3" t="s">
        <v>39</v>
      </c>
      <c r="I128" s="5">
        <v>45.308909999999997</v>
      </c>
      <c r="J128" s="5">
        <v>5.8869100000000003</v>
      </c>
      <c r="K128" s="6">
        <v>955</v>
      </c>
      <c r="L128" s="3" t="s">
        <v>667</v>
      </c>
      <c r="M128" s="7">
        <v>974</v>
      </c>
      <c r="N128" s="7">
        <v>1322</v>
      </c>
      <c r="O128" s="7">
        <f t="shared" ref="O129:O189" si="2">IF(OR(M129="",N129=""),"",N129-M129)</f>
        <v>348</v>
      </c>
      <c r="P128" s="7">
        <v>1107</v>
      </c>
      <c r="Q128" s="8">
        <v>0</v>
      </c>
      <c r="R128" s="9">
        <v>5</v>
      </c>
      <c r="S128" s="6">
        <v>13</v>
      </c>
      <c r="T128" s="6">
        <v>5</v>
      </c>
      <c r="U128" s="6">
        <v>2</v>
      </c>
      <c r="V128" s="6">
        <v>5</v>
      </c>
      <c r="W128" s="6">
        <v>6</v>
      </c>
      <c r="X128" s="6"/>
      <c r="Y128" s="6"/>
      <c r="Z128" s="10">
        <v>0.44</v>
      </c>
      <c r="AA128" s="3"/>
      <c r="AB128" s="3"/>
      <c r="AC128" s="3"/>
      <c r="AD128" s="3" t="s">
        <v>668</v>
      </c>
      <c r="AE128" s="11" t="s">
        <v>669</v>
      </c>
    </row>
    <row r="129" spans="1:31" x14ac:dyDescent="0.25">
      <c r="A129" s="2" t="s">
        <v>670</v>
      </c>
      <c r="B129" s="3" t="s">
        <v>34</v>
      </c>
      <c r="C129" s="3" t="s">
        <v>35</v>
      </c>
      <c r="D129" s="4" t="s">
        <v>44</v>
      </c>
      <c r="E129" s="3" t="s">
        <v>658</v>
      </c>
      <c r="F129" s="3" t="s">
        <v>671</v>
      </c>
      <c r="G129" s="4" t="s">
        <v>672</v>
      </c>
      <c r="H129" s="3" t="s">
        <v>39</v>
      </c>
      <c r="I129" s="5">
        <v>45.204531000000003</v>
      </c>
      <c r="J129" s="5">
        <v>6.279153</v>
      </c>
      <c r="K129" s="6">
        <v>1513</v>
      </c>
      <c r="L129" s="3" t="s">
        <v>359</v>
      </c>
      <c r="M129" s="7">
        <v>1276</v>
      </c>
      <c r="N129" s="7">
        <v>2588</v>
      </c>
      <c r="O129" s="7">
        <f t="shared" si="2"/>
        <v>1312</v>
      </c>
      <c r="P129" s="7">
        <v>1940</v>
      </c>
      <c r="Q129" s="8">
        <v>0.42499999999999999</v>
      </c>
      <c r="R129" s="9">
        <v>153.19999999999999</v>
      </c>
      <c r="S129" s="6">
        <v>231</v>
      </c>
      <c r="T129" s="6">
        <v>65</v>
      </c>
      <c r="U129" s="6">
        <v>58</v>
      </c>
      <c r="V129" s="6">
        <v>99</v>
      </c>
      <c r="W129" s="6">
        <v>50</v>
      </c>
      <c r="X129" s="6">
        <v>18</v>
      </c>
      <c r="Y129" s="6">
        <v>6</v>
      </c>
      <c r="Z129" s="10">
        <v>1.24</v>
      </c>
      <c r="AA129" s="11" t="s">
        <v>673</v>
      </c>
      <c r="AB129" s="3" t="s">
        <v>85</v>
      </c>
      <c r="AC129" s="3"/>
      <c r="AD129" s="3" t="s">
        <v>361</v>
      </c>
      <c r="AE129" s="11" t="s">
        <v>674</v>
      </c>
    </row>
    <row r="130" spans="1:31" x14ac:dyDescent="0.25">
      <c r="A130" s="2" t="s">
        <v>675</v>
      </c>
      <c r="B130" s="3" t="s">
        <v>34</v>
      </c>
      <c r="C130" s="3" t="s">
        <v>35</v>
      </c>
      <c r="D130" s="4" t="s">
        <v>36</v>
      </c>
      <c r="E130" s="3" t="s">
        <v>384</v>
      </c>
      <c r="F130" s="3" t="s">
        <v>385</v>
      </c>
      <c r="G130" s="4" t="s">
        <v>386</v>
      </c>
      <c r="H130" s="3" t="s">
        <v>39</v>
      </c>
      <c r="I130" s="5">
        <v>45.87238</v>
      </c>
      <c r="J130" s="5">
        <v>6.7175500000000001</v>
      </c>
      <c r="K130" s="6">
        <v>896</v>
      </c>
      <c r="L130" s="3" t="s">
        <v>387</v>
      </c>
      <c r="M130" s="7">
        <v>820</v>
      </c>
      <c r="N130" s="7">
        <v>2373</v>
      </c>
      <c r="O130" s="7">
        <f t="shared" si="2"/>
        <v>1553</v>
      </c>
      <c r="P130" s="7">
        <v>1650</v>
      </c>
      <c r="Q130" s="8">
        <v>4.3999999999999997E-2</v>
      </c>
      <c r="R130" s="9">
        <v>159.5</v>
      </c>
      <c r="S130" s="6">
        <v>245</v>
      </c>
      <c r="T130" s="6">
        <v>61</v>
      </c>
      <c r="U130" s="6">
        <v>54</v>
      </c>
      <c r="V130" s="6">
        <v>66</v>
      </c>
      <c r="W130" s="6">
        <v>85</v>
      </c>
      <c r="X130" s="6">
        <v>28</v>
      </c>
      <c r="Y130" s="6">
        <v>12</v>
      </c>
      <c r="Z130" s="10">
        <v>1.08</v>
      </c>
      <c r="AA130" s="3"/>
      <c r="AB130" s="3"/>
      <c r="AC130" s="3"/>
      <c r="AD130" s="3" t="s">
        <v>388</v>
      </c>
      <c r="AE130" s="11" t="s">
        <v>676</v>
      </c>
    </row>
    <row r="131" spans="1:31" x14ac:dyDescent="0.25">
      <c r="A131" s="2" t="s">
        <v>677</v>
      </c>
      <c r="B131" s="3" t="s">
        <v>34</v>
      </c>
      <c r="C131" s="3" t="s">
        <v>35</v>
      </c>
      <c r="D131" s="4" t="s">
        <v>44</v>
      </c>
      <c r="E131" s="3" t="s">
        <v>60</v>
      </c>
      <c r="F131" s="3" t="s">
        <v>460</v>
      </c>
      <c r="G131" s="4" t="s">
        <v>461</v>
      </c>
      <c r="H131" s="3" t="s">
        <v>39</v>
      </c>
      <c r="I131" s="5">
        <v>45.267172000000002</v>
      </c>
      <c r="J131" s="5">
        <v>6.3003830000000001</v>
      </c>
      <c r="K131" s="6">
        <v>1249</v>
      </c>
      <c r="L131" s="3" t="s">
        <v>359</v>
      </c>
      <c r="M131" s="7">
        <v>1276</v>
      </c>
      <c r="N131" s="7">
        <v>2588</v>
      </c>
      <c r="O131" s="7">
        <f t="shared" si="2"/>
        <v>1312</v>
      </c>
      <c r="P131" s="7">
        <v>1940</v>
      </c>
      <c r="Q131" s="8">
        <v>0.42499999999999999</v>
      </c>
      <c r="R131" s="9">
        <v>153.19999999999999</v>
      </c>
      <c r="S131" s="6">
        <v>231</v>
      </c>
      <c r="T131" s="6">
        <v>65</v>
      </c>
      <c r="U131" s="6">
        <v>58</v>
      </c>
      <c r="V131" s="6">
        <v>99</v>
      </c>
      <c r="W131" s="6">
        <v>50</v>
      </c>
      <c r="X131" s="6">
        <v>18</v>
      </c>
      <c r="Y131" s="6">
        <v>6</v>
      </c>
      <c r="Z131" s="10">
        <v>0.35</v>
      </c>
      <c r="AA131" s="3"/>
      <c r="AB131" s="3"/>
      <c r="AC131" s="3"/>
      <c r="AD131" s="3" t="s">
        <v>361</v>
      </c>
      <c r="AE131" s="11" t="s">
        <v>678</v>
      </c>
    </row>
    <row r="132" spans="1:31" x14ac:dyDescent="0.25">
      <c r="A132" s="2" t="s">
        <v>679</v>
      </c>
      <c r="B132" s="3" t="s">
        <v>34</v>
      </c>
      <c r="C132" s="3" t="s">
        <v>35</v>
      </c>
      <c r="D132" s="4" t="s">
        <v>44</v>
      </c>
      <c r="E132" s="3" t="s">
        <v>680</v>
      </c>
      <c r="F132" s="3" t="s">
        <v>681</v>
      </c>
      <c r="G132" s="4" t="s">
        <v>682</v>
      </c>
      <c r="H132" s="3" t="s">
        <v>39</v>
      </c>
      <c r="I132" s="5">
        <v>45.575734400000002</v>
      </c>
      <c r="J132" s="5">
        <v>6.8944571699999999</v>
      </c>
      <c r="K132" s="6">
        <v>1528</v>
      </c>
      <c r="L132" s="3" t="s">
        <v>683</v>
      </c>
      <c r="M132" s="7">
        <v>1506</v>
      </c>
      <c r="N132" s="7">
        <v>2624</v>
      </c>
      <c r="O132" s="7">
        <f t="shared" si="2"/>
        <v>1118</v>
      </c>
      <c r="P132" s="7">
        <v>2033</v>
      </c>
      <c r="Q132" s="8">
        <v>0.54600000000000004</v>
      </c>
      <c r="R132" s="9">
        <v>73</v>
      </c>
      <c r="S132" s="6">
        <v>54</v>
      </c>
      <c r="T132" s="6">
        <v>6</v>
      </c>
      <c r="U132" s="6">
        <v>3</v>
      </c>
      <c r="V132" s="6">
        <v>18</v>
      </c>
      <c r="W132" s="6">
        <v>28</v>
      </c>
      <c r="X132" s="6">
        <v>5</v>
      </c>
      <c r="Y132" s="6"/>
      <c r="Z132" s="10">
        <v>0.09</v>
      </c>
      <c r="AA132" s="11" t="s">
        <v>684</v>
      </c>
      <c r="AB132" s="3" t="s">
        <v>74</v>
      </c>
      <c r="AC132" s="11" t="s">
        <v>685</v>
      </c>
      <c r="AD132" s="3" t="s">
        <v>686</v>
      </c>
      <c r="AE132" s="11" t="s">
        <v>687</v>
      </c>
    </row>
    <row r="133" spans="1:31" x14ac:dyDescent="0.25">
      <c r="A133" s="2" t="s">
        <v>688</v>
      </c>
      <c r="B133" s="3" t="s">
        <v>158</v>
      </c>
      <c r="C133" s="3" t="s">
        <v>35</v>
      </c>
      <c r="D133" s="4" t="s">
        <v>44</v>
      </c>
      <c r="E133" s="3" t="s">
        <v>680</v>
      </c>
      <c r="F133" s="3" t="s">
        <v>681</v>
      </c>
      <c r="G133" s="4" t="s">
        <v>682</v>
      </c>
      <c r="H133" s="3" t="s">
        <v>39</v>
      </c>
      <c r="I133" s="5">
        <v>45.575969999999998</v>
      </c>
      <c r="J133" s="5">
        <v>6.8937200000000001</v>
      </c>
      <c r="K133" s="6">
        <v>1502</v>
      </c>
      <c r="L133" s="3" t="s">
        <v>683</v>
      </c>
      <c r="M133" s="7">
        <v>1506</v>
      </c>
      <c r="N133" s="7">
        <v>2624</v>
      </c>
      <c r="O133" s="7">
        <f t="shared" si="2"/>
        <v>1118</v>
      </c>
      <c r="P133" s="7">
        <v>2033</v>
      </c>
      <c r="Q133" s="8">
        <v>0.54600000000000004</v>
      </c>
      <c r="R133" s="9">
        <v>73</v>
      </c>
      <c r="S133" s="6">
        <v>54</v>
      </c>
      <c r="T133" s="6">
        <v>6</v>
      </c>
      <c r="U133" s="6">
        <v>3</v>
      </c>
      <c r="V133" s="6">
        <v>18</v>
      </c>
      <c r="W133" s="6">
        <v>28</v>
      </c>
      <c r="X133" s="6">
        <v>5</v>
      </c>
      <c r="Y133" s="6"/>
      <c r="Z133" s="10">
        <v>0.05</v>
      </c>
      <c r="AA133" s="11" t="s">
        <v>684</v>
      </c>
      <c r="AB133" s="3" t="s">
        <v>74</v>
      </c>
      <c r="AC133" s="3"/>
      <c r="AD133" s="3" t="s">
        <v>686</v>
      </c>
      <c r="AE133" s="3"/>
    </row>
    <row r="134" spans="1:31" x14ac:dyDescent="0.25">
      <c r="A134" s="2" t="s">
        <v>689</v>
      </c>
      <c r="B134" s="3" t="s">
        <v>34</v>
      </c>
      <c r="C134" s="3" t="s">
        <v>35</v>
      </c>
      <c r="D134" s="4" t="s">
        <v>36</v>
      </c>
      <c r="E134" s="3" t="s">
        <v>690</v>
      </c>
      <c r="F134" s="3" t="s">
        <v>691</v>
      </c>
      <c r="G134" s="4" t="s">
        <v>692</v>
      </c>
      <c r="H134" s="3" t="s">
        <v>39</v>
      </c>
      <c r="I134" s="5">
        <v>46.100403999999997</v>
      </c>
      <c r="J134" s="5">
        <v>6.7171029999999998</v>
      </c>
      <c r="K134" s="6">
        <v>1103</v>
      </c>
      <c r="L134" s="3" t="s">
        <v>40</v>
      </c>
      <c r="M134" s="7">
        <v>920</v>
      </c>
      <c r="N134" s="7">
        <v>2230</v>
      </c>
      <c r="O134" s="7">
        <f t="shared" si="2"/>
        <v>1310</v>
      </c>
      <c r="P134" s="7">
        <v>1565</v>
      </c>
      <c r="Q134" s="8">
        <v>4.7E-2</v>
      </c>
      <c r="R134" s="9">
        <v>493.7</v>
      </c>
      <c r="S134" s="6">
        <v>762</v>
      </c>
      <c r="T134" s="6">
        <v>195</v>
      </c>
      <c r="U134" s="6">
        <v>120</v>
      </c>
      <c r="V134" s="6">
        <v>357</v>
      </c>
      <c r="W134" s="6">
        <v>210</v>
      </c>
      <c r="X134" s="6">
        <v>32</v>
      </c>
      <c r="Y134" s="6">
        <v>43</v>
      </c>
      <c r="Z134" s="10">
        <v>3.38</v>
      </c>
      <c r="AA134" s="3"/>
      <c r="AB134" s="3"/>
      <c r="AC134" s="3"/>
      <c r="AD134" s="3" t="s">
        <v>41</v>
      </c>
      <c r="AE134" s="11" t="s">
        <v>693</v>
      </c>
    </row>
    <row r="135" spans="1:31" x14ac:dyDescent="0.25">
      <c r="A135" s="2" t="s">
        <v>694</v>
      </c>
      <c r="B135" s="3" t="s">
        <v>158</v>
      </c>
      <c r="C135" s="3" t="s">
        <v>35</v>
      </c>
      <c r="D135" s="4" t="s">
        <v>36</v>
      </c>
      <c r="E135" s="3" t="s">
        <v>690</v>
      </c>
      <c r="F135" s="3" t="s">
        <v>691</v>
      </c>
      <c r="G135" s="4" t="s">
        <v>692</v>
      </c>
      <c r="H135" s="3" t="s">
        <v>39</v>
      </c>
      <c r="I135" s="5">
        <v>46.053199999999997</v>
      </c>
      <c r="J135" s="5">
        <v>6.6981900000000003</v>
      </c>
      <c r="K135" s="6">
        <v>1623</v>
      </c>
      <c r="L135" s="3" t="s">
        <v>266</v>
      </c>
      <c r="M135" s="7">
        <v>682</v>
      </c>
      <c r="N135" s="7">
        <v>2485</v>
      </c>
      <c r="O135" s="7">
        <f t="shared" si="2"/>
        <v>1803</v>
      </c>
      <c r="P135" s="7">
        <v>1698</v>
      </c>
      <c r="Q135" s="8">
        <v>0.19800000000000001</v>
      </c>
      <c r="R135" s="9">
        <v>385</v>
      </c>
      <c r="S135" s="6">
        <v>444</v>
      </c>
      <c r="T135" s="6">
        <v>72</v>
      </c>
      <c r="U135" s="6">
        <v>128</v>
      </c>
      <c r="V135" s="6">
        <v>189</v>
      </c>
      <c r="W135" s="6">
        <v>92</v>
      </c>
      <c r="X135" s="6">
        <v>25</v>
      </c>
      <c r="Y135" s="6">
        <v>10</v>
      </c>
      <c r="Z135" s="10">
        <v>0.02</v>
      </c>
      <c r="AA135" s="11" t="s">
        <v>470</v>
      </c>
      <c r="AB135" s="3" t="s">
        <v>103</v>
      </c>
      <c r="AC135" s="3"/>
      <c r="AD135" s="3" t="s">
        <v>267</v>
      </c>
      <c r="AE135" s="3"/>
    </row>
    <row r="136" spans="1:31" x14ac:dyDescent="0.25">
      <c r="A136" s="2" t="s">
        <v>695</v>
      </c>
      <c r="B136" s="3" t="s">
        <v>34</v>
      </c>
      <c r="C136" s="3" t="s">
        <v>35</v>
      </c>
      <c r="D136" s="4" t="s">
        <v>44</v>
      </c>
      <c r="E136" s="3" t="s">
        <v>45</v>
      </c>
      <c r="F136" s="3" t="s">
        <v>696</v>
      </c>
      <c r="G136" s="4" t="s">
        <v>697</v>
      </c>
      <c r="H136" s="3" t="s">
        <v>39</v>
      </c>
      <c r="I136" s="5">
        <v>45.677570000000003</v>
      </c>
      <c r="J136" s="5">
        <v>6.0323900000000004</v>
      </c>
      <c r="K136" s="6">
        <v>1303</v>
      </c>
      <c r="L136" s="3" t="s">
        <v>698</v>
      </c>
      <c r="M136" s="7">
        <v>1275</v>
      </c>
      <c r="N136" s="7">
        <v>1548</v>
      </c>
      <c r="O136" s="7">
        <f t="shared" si="2"/>
        <v>273</v>
      </c>
      <c r="P136" s="7">
        <v>1439</v>
      </c>
      <c r="Q136" s="8">
        <v>0</v>
      </c>
      <c r="R136" s="9">
        <v>8.9</v>
      </c>
      <c r="S136" s="6">
        <v>17</v>
      </c>
      <c r="T136" s="6">
        <v>5</v>
      </c>
      <c r="U136" s="6">
        <v>3</v>
      </c>
      <c r="V136" s="6">
        <v>8</v>
      </c>
      <c r="W136" s="6">
        <v>4</v>
      </c>
      <c r="X136" s="6">
        <v>1</v>
      </c>
      <c r="Y136" s="6">
        <v>1</v>
      </c>
      <c r="Z136" s="10">
        <v>2.92</v>
      </c>
      <c r="AA136" s="3"/>
      <c r="AB136" s="3"/>
      <c r="AC136" s="3"/>
      <c r="AD136" s="3" t="s">
        <v>699</v>
      </c>
      <c r="AE136" s="11" t="s">
        <v>700</v>
      </c>
    </row>
    <row r="137" spans="1:31" x14ac:dyDescent="0.25">
      <c r="A137" s="2" t="s">
        <v>701</v>
      </c>
      <c r="B137" s="3" t="s">
        <v>34</v>
      </c>
      <c r="C137" s="3" t="s">
        <v>35</v>
      </c>
      <c r="D137" s="4" t="s">
        <v>36</v>
      </c>
      <c r="E137" s="3" t="s">
        <v>294</v>
      </c>
      <c r="F137" s="3" t="s">
        <v>295</v>
      </c>
      <c r="G137" s="4" t="s">
        <v>296</v>
      </c>
      <c r="H137" s="3" t="s">
        <v>39</v>
      </c>
      <c r="I137" s="5">
        <v>46.054608000000002</v>
      </c>
      <c r="J137" s="5">
        <v>6.7752920000000003</v>
      </c>
      <c r="K137" s="6">
        <v>762</v>
      </c>
      <c r="L137" s="3" t="s">
        <v>266</v>
      </c>
      <c r="M137" s="7">
        <v>682</v>
      </c>
      <c r="N137" s="7">
        <v>2485</v>
      </c>
      <c r="O137" s="7">
        <f t="shared" si="2"/>
        <v>1803</v>
      </c>
      <c r="P137" s="7">
        <v>1698</v>
      </c>
      <c r="Q137" s="8">
        <v>0.19800000000000001</v>
      </c>
      <c r="R137" s="9">
        <v>385</v>
      </c>
      <c r="S137" s="6">
        <v>444</v>
      </c>
      <c r="T137" s="6">
        <v>72</v>
      </c>
      <c r="U137" s="6">
        <v>128</v>
      </c>
      <c r="V137" s="6">
        <v>189</v>
      </c>
      <c r="W137" s="6">
        <v>92</v>
      </c>
      <c r="X137" s="6">
        <v>25</v>
      </c>
      <c r="Y137" s="6">
        <v>10</v>
      </c>
      <c r="Z137" s="10">
        <v>1.08</v>
      </c>
      <c r="AA137" s="3"/>
      <c r="AB137" s="3"/>
      <c r="AC137" s="3"/>
      <c r="AD137" s="3" t="s">
        <v>267</v>
      </c>
      <c r="AE137" s="11" t="s">
        <v>702</v>
      </c>
    </row>
    <row r="138" spans="1:31" x14ac:dyDescent="0.25">
      <c r="A138" s="2" t="s">
        <v>703</v>
      </c>
      <c r="B138" s="3" t="s">
        <v>34</v>
      </c>
      <c r="C138" s="3" t="s">
        <v>35</v>
      </c>
      <c r="D138" s="4" t="s">
        <v>44</v>
      </c>
      <c r="E138" s="3" t="s">
        <v>154</v>
      </c>
      <c r="F138" s="3" t="s">
        <v>372</v>
      </c>
      <c r="G138" s="4" t="s">
        <v>373</v>
      </c>
      <c r="H138" s="3" t="s">
        <v>39</v>
      </c>
      <c r="I138" s="5">
        <v>45.279339999999998</v>
      </c>
      <c r="J138" s="5">
        <v>6.8152999999999997</v>
      </c>
      <c r="K138" s="6">
        <v>1294</v>
      </c>
      <c r="L138" s="3" t="s">
        <v>124</v>
      </c>
      <c r="M138" s="7">
        <v>1306</v>
      </c>
      <c r="N138" s="7">
        <v>2952</v>
      </c>
      <c r="O138" s="7">
        <f t="shared" si="2"/>
        <v>1646</v>
      </c>
      <c r="P138" s="7">
        <v>2087</v>
      </c>
      <c r="Q138" s="8">
        <v>0.55700000000000005</v>
      </c>
      <c r="R138" s="9">
        <v>255.4</v>
      </c>
      <c r="S138" s="6">
        <v>402</v>
      </c>
      <c r="T138" s="6">
        <v>79</v>
      </c>
      <c r="U138" s="6">
        <v>108</v>
      </c>
      <c r="V138" s="6">
        <v>136</v>
      </c>
      <c r="W138" s="6">
        <v>112</v>
      </c>
      <c r="X138" s="6">
        <v>20</v>
      </c>
      <c r="Y138" s="6">
        <v>26</v>
      </c>
      <c r="Z138" s="10">
        <v>0.62</v>
      </c>
      <c r="AA138" s="11" t="s">
        <v>374</v>
      </c>
      <c r="AB138" s="3" t="s">
        <v>85</v>
      </c>
      <c r="AC138" s="3"/>
      <c r="AD138" s="3" t="s">
        <v>127</v>
      </c>
      <c r="AE138" s="3"/>
    </row>
    <row r="139" spans="1:31" x14ac:dyDescent="0.25">
      <c r="A139" s="2" t="s">
        <v>704</v>
      </c>
      <c r="B139" s="3" t="s">
        <v>34</v>
      </c>
      <c r="C139" s="3" t="s">
        <v>35</v>
      </c>
      <c r="D139" s="4" t="s">
        <v>36</v>
      </c>
      <c r="E139" s="3" t="s">
        <v>146</v>
      </c>
      <c r="F139" s="3" t="s">
        <v>705</v>
      </c>
      <c r="G139" s="4" t="s">
        <v>706</v>
      </c>
      <c r="H139" s="3" t="s">
        <v>39</v>
      </c>
      <c r="I139" s="5">
        <v>46.388199999999998</v>
      </c>
      <c r="J139" s="5">
        <v>6.6970000000000001</v>
      </c>
      <c r="K139" s="6">
        <v>931</v>
      </c>
      <c r="L139" s="3" t="s">
        <v>705</v>
      </c>
      <c r="M139" s="7">
        <v>1078</v>
      </c>
      <c r="N139" s="7">
        <v>1873</v>
      </c>
      <c r="O139" s="7">
        <f t="shared" si="2"/>
        <v>795</v>
      </c>
      <c r="P139" s="7">
        <v>1601</v>
      </c>
      <c r="Q139" s="8">
        <v>0</v>
      </c>
      <c r="R139" s="9">
        <v>19.3</v>
      </c>
      <c r="S139" s="6">
        <v>54</v>
      </c>
      <c r="T139" s="6">
        <v>16</v>
      </c>
      <c r="U139" s="6">
        <v>21</v>
      </c>
      <c r="V139" s="6">
        <v>11</v>
      </c>
      <c r="W139" s="6">
        <v>20</v>
      </c>
      <c r="X139" s="6">
        <v>2</v>
      </c>
      <c r="Y139" s="6"/>
      <c r="Z139" s="10">
        <v>1.66</v>
      </c>
      <c r="AA139" s="11" t="s">
        <v>707</v>
      </c>
      <c r="AB139" s="3"/>
      <c r="AC139" s="11" t="s">
        <v>708</v>
      </c>
      <c r="AD139" s="3" t="s">
        <v>709</v>
      </c>
      <c r="AE139" s="11" t="s">
        <v>710</v>
      </c>
    </row>
    <row r="140" spans="1:31" x14ac:dyDescent="0.25">
      <c r="A140" s="2" t="s">
        <v>711</v>
      </c>
      <c r="B140" s="3" t="s">
        <v>34</v>
      </c>
      <c r="C140" s="3" t="s">
        <v>35</v>
      </c>
      <c r="D140" s="4" t="s">
        <v>44</v>
      </c>
      <c r="E140" s="3" t="s">
        <v>712</v>
      </c>
      <c r="F140" s="3" t="s">
        <v>711</v>
      </c>
      <c r="G140" s="4" t="s">
        <v>713</v>
      </c>
      <c r="H140" s="3" t="s">
        <v>39</v>
      </c>
      <c r="I140" s="5">
        <v>45.4696</v>
      </c>
      <c r="J140" s="5">
        <v>6.9</v>
      </c>
      <c r="K140" s="6">
        <v>2171</v>
      </c>
      <c r="L140" s="3" t="s">
        <v>320</v>
      </c>
      <c r="M140" s="7">
        <v>1559</v>
      </c>
      <c r="N140" s="7">
        <v>3456</v>
      </c>
      <c r="O140" s="7">
        <f t="shared" si="2"/>
        <v>1897</v>
      </c>
      <c r="P140" s="7">
        <v>2479</v>
      </c>
      <c r="Q140" s="8">
        <v>0.92500000000000004</v>
      </c>
      <c r="R140" s="9">
        <v>341.5</v>
      </c>
      <c r="S140" s="6">
        <v>415</v>
      </c>
      <c r="T140" s="6">
        <v>84</v>
      </c>
      <c r="U140" s="6">
        <v>68</v>
      </c>
      <c r="V140" s="6">
        <v>195</v>
      </c>
      <c r="W140" s="6">
        <v>111</v>
      </c>
      <c r="X140" s="6">
        <v>30</v>
      </c>
      <c r="Y140" s="6">
        <v>11</v>
      </c>
      <c r="Z140" s="10">
        <v>0.02</v>
      </c>
      <c r="AA140" s="11" t="s">
        <v>714</v>
      </c>
      <c r="AB140" s="3" t="s">
        <v>103</v>
      </c>
      <c r="AC140" s="3"/>
      <c r="AD140" s="3" t="s">
        <v>322</v>
      </c>
      <c r="AE140" s="11" t="s">
        <v>715</v>
      </c>
    </row>
    <row r="141" spans="1:31" x14ac:dyDescent="0.25">
      <c r="A141" s="2" t="s">
        <v>716</v>
      </c>
      <c r="B141" s="3" t="s">
        <v>34</v>
      </c>
      <c r="C141" s="3" t="s">
        <v>35</v>
      </c>
      <c r="D141" s="4" t="s">
        <v>44</v>
      </c>
      <c r="E141" s="3" t="s">
        <v>712</v>
      </c>
      <c r="F141" s="3" t="s">
        <v>711</v>
      </c>
      <c r="G141" s="4" t="s">
        <v>713</v>
      </c>
      <c r="H141" s="3" t="s">
        <v>39</v>
      </c>
      <c r="I141" s="5">
        <v>45.468339999999998</v>
      </c>
      <c r="J141" s="5">
        <v>6.9062900000000003</v>
      </c>
      <c r="K141" s="6">
        <v>2090</v>
      </c>
      <c r="L141" s="3" t="s">
        <v>320</v>
      </c>
      <c r="M141" s="7">
        <v>1559</v>
      </c>
      <c r="N141" s="7">
        <v>3456</v>
      </c>
      <c r="O141" s="7">
        <f t="shared" si="2"/>
        <v>1897</v>
      </c>
      <c r="P141" s="7">
        <v>2479</v>
      </c>
      <c r="Q141" s="8">
        <v>0.92500000000000004</v>
      </c>
      <c r="R141" s="9">
        <v>341.5</v>
      </c>
      <c r="S141" s="6">
        <v>415</v>
      </c>
      <c r="T141" s="6">
        <v>84</v>
      </c>
      <c r="U141" s="6">
        <v>68</v>
      </c>
      <c r="V141" s="6">
        <v>195</v>
      </c>
      <c r="W141" s="6">
        <v>111</v>
      </c>
      <c r="X141" s="6">
        <v>30</v>
      </c>
      <c r="Y141" s="6">
        <v>11</v>
      </c>
      <c r="Z141" s="10">
        <v>0.06</v>
      </c>
      <c r="AA141" s="11" t="s">
        <v>714</v>
      </c>
      <c r="AB141" s="3" t="s">
        <v>103</v>
      </c>
      <c r="AC141" s="3"/>
      <c r="AD141" s="3" t="s">
        <v>322</v>
      </c>
      <c r="AE141" s="3"/>
    </row>
    <row r="142" spans="1:31" x14ac:dyDescent="0.25">
      <c r="A142" s="2" t="s">
        <v>717</v>
      </c>
      <c r="B142" s="3" t="s">
        <v>34</v>
      </c>
      <c r="C142" s="3" t="s">
        <v>35</v>
      </c>
      <c r="D142" s="4" t="s">
        <v>44</v>
      </c>
      <c r="E142" s="3" t="s">
        <v>712</v>
      </c>
      <c r="F142" s="3" t="s">
        <v>711</v>
      </c>
      <c r="G142" s="4" t="s">
        <v>713</v>
      </c>
      <c r="H142" s="3" t="s">
        <v>39</v>
      </c>
      <c r="I142" s="5">
        <v>45.495240000000003</v>
      </c>
      <c r="J142" s="5">
        <v>6.9255500000000003</v>
      </c>
      <c r="K142" s="6">
        <v>1797</v>
      </c>
      <c r="L142" s="3" t="s">
        <v>320</v>
      </c>
      <c r="M142" s="7">
        <v>1559</v>
      </c>
      <c r="N142" s="7">
        <v>3456</v>
      </c>
      <c r="O142" s="7">
        <f t="shared" si="2"/>
        <v>1897</v>
      </c>
      <c r="P142" s="7">
        <v>2479</v>
      </c>
      <c r="Q142" s="8">
        <v>0.92500000000000004</v>
      </c>
      <c r="R142" s="9">
        <v>341.5</v>
      </c>
      <c r="S142" s="6">
        <v>415</v>
      </c>
      <c r="T142" s="6">
        <v>84</v>
      </c>
      <c r="U142" s="6">
        <v>68</v>
      </c>
      <c r="V142" s="6">
        <v>195</v>
      </c>
      <c r="W142" s="6">
        <v>111</v>
      </c>
      <c r="X142" s="6">
        <v>30</v>
      </c>
      <c r="Y142" s="6">
        <v>11</v>
      </c>
      <c r="Z142" s="10">
        <v>0.06</v>
      </c>
      <c r="AA142" s="11" t="s">
        <v>714</v>
      </c>
      <c r="AB142" s="3" t="s">
        <v>103</v>
      </c>
      <c r="AC142" s="3"/>
      <c r="AD142" s="3" t="s">
        <v>322</v>
      </c>
      <c r="AE142" s="3"/>
    </row>
    <row r="143" spans="1:31" x14ac:dyDescent="0.25">
      <c r="A143" s="2" t="s">
        <v>718</v>
      </c>
      <c r="B143" s="3" t="s">
        <v>34</v>
      </c>
      <c r="C143" s="3" t="s">
        <v>35</v>
      </c>
      <c r="D143" s="4" t="s">
        <v>44</v>
      </c>
      <c r="E143" s="3" t="s">
        <v>712</v>
      </c>
      <c r="F143" s="3" t="s">
        <v>711</v>
      </c>
      <c r="G143" s="4" t="s">
        <v>713</v>
      </c>
      <c r="H143" s="3" t="s">
        <v>39</v>
      </c>
      <c r="I143" s="5">
        <v>45.508780000000002</v>
      </c>
      <c r="J143" s="5">
        <v>6.9202500000000002</v>
      </c>
      <c r="K143" s="6">
        <v>1566</v>
      </c>
      <c r="L143" s="3" t="s">
        <v>320</v>
      </c>
      <c r="M143" s="7">
        <v>1559</v>
      </c>
      <c r="N143" s="7">
        <v>3456</v>
      </c>
      <c r="O143" s="7">
        <f t="shared" si="2"/>
        <v>1897</v>
      </c>
      <c r="P143" s="7">
        <v>2479</v>
      </c>
      <c r="Q143" s="8">
        <v>0.92500000000000004</v>
      </c>
      <c r="R143" s="9">
        <v>341.5</v>
      </c>
      <c r="S143" s="6">
        <v>415</v>
      </c>
      <c r="T143" s="6">
        <v>84</v>
      </c>
      <c r="U143" s="6">
        <v>68</v>
      </c>
      <c r="V143" s="6">
        <v>195</v>
      </c>
      <c r="W143" s="6">
        <v>111</v>
      </c>
      <c r="X143" s="6">
        <v>30</v>
      </c>
      <c r="Y143" s="6">
        <v>11</v>
      </c>
      <c r="Z143" s="10">
        <v>0.25</v>
      </c>
      <c r="AA143" s="11" t="s">
        <v>714</v>
      </c>
      <c r="AB143" s="3" t="s">
        <v>103</v>
      </c>
      <c r="AC143" s="3"/>
      <c r="AD143" s="3" t="s">
        <v>322</v>
      </c>
      <c r="AE143" s="3"/>
    </row>
    <row r="144" spans="1:31" x14ac:dyDescent="0.25">
      <c r="A144" s="2" t="s">
        <v>719</v>
      </c>
      <c r="B144" s="3" t="s">
        <v>34</v>
      </c>
      <c r="C144" s="3" t="s">
        <v>35</v>
      </c>
      <c r="D144" s="4" t="s">
        <v>44</v>
      </c>
      <c r="E144" s="3" t="s">
        <v>712</v>
      </c>
      <c r="F144" s="3" t="s">
        <v>711</v>
      </c>
      <c r="G144" s="4" t="s">
        <v>713</v>
      </c>
      <c r="H144" s="3" t="s">
        <v>39</v>
      </c>
      <c r="I144" s="5">
        <v>45.456440000000001</v>
      </c>
      <c r="J144" s="5">
        <v>6.8997900000000003</v>
      </c>
      <c r="K144" s="6">
        <v>2118</v>
      </c>
      <c r="L144" s="3" t="s">
        <v>320</v>
      </c>
      <c r="M144" s="7">
        <v>1559</v>
      </c>
      <c r="N144" s="7">
        <v>3456</v>
      </c>
      <c r="O144" s="7">
        <f t="shared" si="2"/>
        <v>1897</v>
      </c>
      <c r="P144" s="7">
        <v>2479</v>
      </c>
      <c r="Q144" s="8">
        <v>0.92500000000000004</v>
      </c>
      <c r="R144" s="9">
        <v>341.5</v>
      </c>
      <c r="S144" s="6">
        <v>415</v>
      </c>
      <c r="T144" s="6">
        <v>84</v>
      </c>
      <c r="U144" s="6">
        <v>68</v>
      </c>
      <c r="V144" s="6">
        <v>195</v>
      </c>
      <c r="W144" s="6">
        <v>111</v>
      </c>
      <c r="X144" s="6">
        <v>30</v>
      </c>
      <c r="Y144" s="6">
        <v>11</v>
      </c>
      <c r="Z144" s="10">
        <v>0.13</v>
      </c>
      <c r="AA144" s="11" t="s">
        <v>714</v>
      </c>
      <c r="AB144" s="3" t="s">
        <v>103</v>
      </c>
      <c r="AC144" s="3"/>
      <c r="AD144" s="3" t="s">
        <v>322</v>
      </c>
      <c r="AE144" s="3"/>
    </row>
    <row r="145" spans="1:31" x14ac:dyDescent="0.25">
      <c r="A145" s="2" t="s">
        <v>720</v>
      </c>
      <c r="B145" s="3" t="s">
        <v>34</v>
      </c>
      <c r="C145" s="3" t="s">
        <v>35</v>
      </c>
      <c r="D145" s="4" t="s">
        <v>44</v>
      </c>
      <c r="E145" s="3" t="s">
        <v>154</v>
      </c>
      <c r="F145" s="3" t="s">
        <v>372</v>
      </c>
      <c r="G145" s="4" t="s">
        <v>373</v>
      </c>
      <c r="H145" s="3" t="s">
        <v>39</v>
      </c>
      <c r="I145" s="5">
        <v>45.285527000000002</v>
      </c>
      <c r="J145" s="5">
        <v>6.9003065100000001</v>
      </c>
      <c r="K145" s="6">
        <v>1453</v>
      </c>
      <c r="L145" s="3" t="s">
        <v>124</v>
      </c>
      <c r="M145" s="7">
        <v>1306</v>
      </c>
      <c r="N145" s="7">
        <v>2952</v>
      </c>
      <c r="O145" s="7">
        <f t="shared" si="2"/>
        <v>1646</v>
      </c>
      <c r="P145" s="7">
        <v>2087</v>
      </c>
      <c r="Q145" s="8">
        <v>0.55700000000000005</v>
      </c>
      <c r="R145" s="9">
        <v>255.4</v>
      </c>
      <c r="S145" s="6">
        <v>402</v>
      </c>
      <c r="T145" s="6">
        <v>79</v>
      </c>
      <c r="U145" s="6">
        <v>108</v>
      </c>
      <c r="V145" s="6">
        <v>136</v>
      </c>
      <c r="W145" s="6">
        <v>112</v>
      </c>
      <c r="X145" s="6">
        <v>20</v>
      </c>
      <c r="Y145" s="6">
        <v>26</v>
      </c>
      <c r="Z145" s="10">
        <v>0.01</v>
      </c>
      <c r="AA145" s="11" t="s">
        <v>374</v>
      </c>
      <c r="AB145" s="3" t="s">
        <v>85</v>
      </c>
      <c r="AC145" s="11" t="s">
        <v>721</v>
      </c>
      <c r="AD145" s="3" t="s">
        <v>127</v>
      </c>
      <c r="AE145" s="11" t="s">
        <v>722</v>
      </c>
    </row>
    <row r="146" spans="1:31" x14ac:dyDescent="0.25">
      <c r="A146" s="2" t="s">
        <v>723</v>
      </c>
      <c r="B146" s="3" t="s">
        <v>34</v>
      </c>
      <c r="C146" s="3" t="s">
        <v>35</v>
      </c>
      <c r="D146" s="4" t="s">
        <v>44</v>
      </c>
      <c r="E146" s="3" t="s">
        <v>144</v>
      </c>
      <c r="F146" s="3" t="s">
        <v>318</v>
      </c>
      <c r="G146" s="4" t="s">
        <v>319</v>
      </c>
      <c r="H146" s="3" t="s">
        <v>39</v>
      </c>
      <c r="I146" s="5">
        <v>45.449029000000003</v>
      </c>
      <c r="J146" s="5">
        <v>6.9800285999999998</v>
      </c>
      <c r="K146" s="6">
        <v>1829</v>
      </c>
      <c r="L146" s="3" t="s">
        <v>320</v>
      </c>
      <c r="M146" s="7">
        <v>1559</v>
      </c>
      <c r="N146" s="7">
        <v>3456</v>
      </c>
      <c r="O146" s="7">
        <f t="shared" si="2"/>
        <v>1897</v>
      </c>
      <c r="P146" s="7">
        <v>2479</v>
      </c>
      <c r="Q146" s="8">
        <v>0.92500000000000004</v>
      </c>
      <c r="R146" s="9">
        <v>341.5</v>
      </c>
      <c r="S146" s="6">
        <v>415</v>
      </c>
      <c r="T146" s="6">
        <v>84</v>
      </c>
      <c r="U146" s="6">
        <v>68</v>
      </c>
      <c r="V146" s="6">
        <v>195</v>
      </c>
      <c r="W146" s="6">
        <v>111</v>
      </c>
      <c r="X146" s="6">
        <v>30</v>
      </c>
      <c r="Y146" s="6">
        <v>11</v>
      </c>
      <c r="Z146" s="10">
        <v>0.21</v>
      </c>
      <c r="AA146" s="11" t="s">
        <v>321</v>
      </c>
      <c r="AB146" s="3" t="s">
        <v>103</v>
      </c>
      <c r="AC146" s="11" t="s">
        <v>724</v>
      </c>
      <c r="AD146" s="3" t="s">
        <v>322</v>
      </c>
      <c r="AE146" s="11" t="s">
        <v>725</v>
      </c>
    </row>
    <row r="147" spans="1:31" x14ac:dyDescent="0.25">
      <c r="A147" s="2" t="s">
        <v>726</v>
      </c>
      <c r="B147" s="3" t="s">
        <v>34</v>
      </c>
      <c r="C147" s="3" t="s">
        <v>35</v>
      </c>
      <c r="D147" s="4" t="s">
        <v>44</v>
      </c>
      <c r="E147" s="3" t="s">
        <v>500</v>
      </c>
      <c r="F147" s="3" t="s">
        <v>501</v>
      </c>
      <c r="G147" s="4" t="s">
        <v>502</v>
      </c>
      <c r="H147" s="3" t="s">
        <v>39</v>
      </c>
      <c r="I147" s="5">
        <v>45.298313299999997</v>
      </c>
      <c r="J147" s="5">
        <v>6.5824412399999996</v>
      </c>
      <c r="K147" s="6">
        <v>2321</v>
      </c>
      <c r="L147" s="3" t="s">
        <v>174</v>
      </c>
      <c r="M147" s="7">
        <v>1110</v>
      </c>
      <c r="N147" s="7">
        <v>3223</v>
      </c>
      <c r="O147" s="7">
        <f t="shared" si="2"/>
        <v>2113</v>
      </c>
      <c r="P147" s="7">
        <v>2252</v>
      </c>
      <c r="Q147" s="8">
        <v>0.72799999999999998</v>
      </c>
      <c r="R147" s="9">
        <v>771.4</v>
      </c>
      <c r="S147" s="6">
        <v>871</v>
      </c>
      <c r="T147" s="6">
        <v>142</v>
      </c>
      <c r="U147" s="6">
        <v>168</v>
      </c>
      <c r="V147" s="6">
        <v>422</v>
      </c>
      <c r="W147" s="6">
        <v>222</v>
      </c>
      <c r="X147" s="6">
        <v>55</v>
      </c>
      <c r="Y147" s="6">
        <v>4</v>
      </c>
      <c r="Z147" s="10">
        <v>0.02</v>
      </c>
      <c r="AA147" s="11" t="s">
        <v>633</v>
      </c>
      <c r="AB147" s="3" t="s">
        <v>103</v>
      </c>
      <c r="AC147" s="11" t="s">
        <v>727</v>
      </c>
      <c r="AD147" s="3" t="s">
        <v>177</v>
      </c>
      <c r="AE147" s="11" t="s">
        <v>728</v>
      </c>
    </row>
    <row r="148" spans="1:31" x14ac:dyDescent="0.25">
      <c r="A148" s="2" t="s">
        <v>729</v>
      </c>
      <c r="B148" s="3" t="s">
        <v>34</v>
      </c>
      <c r="C148" s="3" t="s">
        <v>35</v>
      </c>
      <c r="D148" s="4" t="s">
        <v>44</v>
      </c>
      <c r="E148" s="3" t="s">
        <v>122</v>
      </c>
      <c r="F148" s="3" t="s">
        <v>730</v>
      </c>
      <c r="G148" s="4" t="s">
        <v>731</v>
      </c>
      <c r="H148" s="3" t="s">
        <v>39</v>
      </c>
      <c r="I148" s="5">
        <v>45.170999999999999</v>
      </c>
      <c r="J148" s="5">
        <v>6.6501999999999999</v>
      </c>
      <c r="K148" s="6">
        <v>1557</v>
      </c>
      <c r="L148" s="3" t="s">
        <v>124</v>
      </c>
      <c r="M148" s="7">
        <v>1306</v>
      </c>
      <c r="N148" s="7">
        <v>2952</v>
      </c>
      <c r="O148" s="7">
        <f t="shared" si="2"/>
        <v>1646</v>
      </c>
      <c r="P148" s="7">
        <v>2087</v>
      </c>
      <c r="Q148" s="8">
        <v>0.55700000000000005</v>
      </c>
      <c r="R148" s="9">
        <v>255.4</v>
      </c>
      <c r="S148" s="6">
        <v>402</v>
      </c>
      <c r="T148" s="6">
        <v>79</v>
      </c>
      <c r="U148" s="6">
        <v>108</v>
      </c>
      <c r="V148" s="6">
        <v>136</v>
      </c>
      <c r="W148" s="6">
        <v>112</v>
      </c>
      <c r="X148" s="6">
        <v>20</v>
      </c>
      <c r="Y148" s="6">
        <v>26</v>
      </c>
      <c r="Z148" s="10">
        <v>0.08</v>
      </c>
      <c r="AA148" s="11" t="s">
        <v>732</v>
      </c>
      <c r="AB148" s="3" t="s">
        <v>85</v>
      </c>
      <c r="AC148" s="3"/>
      <c r="AD148" s="3" t="s">
        <v>127</v>
      </c>
      <c r="AE148" s="11" t="s">
        <v>733</v>
      </c>
    </row>
    <row r="149" spans="1:31" x14ac:dyDescent="0.25">
      <c r="A149" s="2" t="s">
        <v>734</v>
      </c>
      <c r="B149" s="3" t="s">
        <v>34</v>
      </c>
      <c r="C149" s="3" t="s">
        <v>35</v>
      </c>
      <c r="D149" s="4" t="s">
        <v>44</v>
      </c>
      <c r="E149" s="3" t="s">
        <v>735</v>
      </c>
      <c r="F149" s="3" t="s">
        <v>734</v>
      </c>
      <c r="G149" s="4" t="s">
        <v>736</v>
      </c>
      <c r="H149" s="3" t="s">
        <v>39</v>
      </c>
      <c r="I149" s="5">
        <v>45.164999999999999</v>
      </c>
      <c r="J149" s="5">
        <v>6.4284999999999997</v>
      </c>
      <c r="K149" s="6">
        <v>1403</v>
      </c>
      <c r="L149" s="3" t="s">
        <v>586</v>
      </c>
      <c r="M149" s="7">
        <v>1406</v>
      </c>
      <c r="N149" s="7">
        <v>2741</v>
      </c>
      <c r="O149" s="7">
        <f t="shared" si="2"/>
        <v>1335</v>
      </c>
      <c r="P149" s="7">
        <v>2115</v>
      </c>
      <c r="Q149" s="8">
        <v>0.627</v>
      </c>
      <c r="R149" s="9">
        <v>195.7</v>
      </c>
      <c r="S149" s="6">
        <v>251</v>
      </c>
      <c r="T149" s="6">
        <v>34</v>
      </c>
      <c r="U149" s="6">
        <v>54</v>
      </c>
      <c r="V149" s="6">
        <v>97</v>
      </c>
      <c r="W149" s="6">
        <v>78</v>
      </c>
      <c r="X149" s="6">
        <v>16</v>
      </c>
      <c r="Y149" s="6">
        <v>6</v>
      </c>
      <c r="Z149" s="10">
        <v>0.21</v>
      </c>
      <c r="AA149" s="11" t="s">
        <v>737</v>
      </c>
      <c r="AB149" s="3" t="s">
        <v>103</v>
      </c>
      <c r="AC149" s="11" t="s">
        <v>738</v>
      </c>
      <c r="AD149" s="3" t="s">
        <v>588</v>
      </c>
      <c r="AE149" s="11" t="s">
        <v>739</v>
      </c>
    </row>
    <row r="150" spans="1:31" x14ac:dyDescent="0.25">
      <c r="A150" s="2" t="s">
        <v>740</v>
      </c>
      <c r="B150" s="3" t="s">
        <v>34</v>
      </c>
      <c r="C150" s="3" t="s">
        <v>35</v>
      </c>
      <c r="D150" s="4" t="s">
        <v>36</v>
      </c>
      <c r="E150" s="3" t="s">
        <v>741</v>
      </c>
      <c r="F150" s="3" t="s">
        <v>740</v>
      </c>
      <c r="G150" s="4" t="s">
        <v>550</v>
      </c>
      <c r="H150" s="3" t="s">
        <v>39</v>
      </c>
      <c r="I150" s="5">
        <v>46.032770999999997</v>
      </c>
      <c r="J150" s="5">
        <v>6.929322</v>
      </c>
      <c r="K150" s="6">
        <v>1310</v>
      </c>
      <c r="L150" s="3" t="s">
        <v>444</v>
      </c>
      <c r="M150" s="7">
        <v>1262</v>
      </c>
      <c r="N150" s="7">
        <v>2255</v>
      </c>
      <c r="O150" s="7">
        <f t="shared" si="2"/>
        <v>993</v>
      </c>
      <c r="P150" s="7">
        <v>1960</v>
      </c>
      <c r="Q150" s="8">
        <v>0.38200000000000001</v>
      </c>
      <c r="R150" s="9">
        <v>44.1</v>
      </c>
      <c r="S150" s="6">
        <v>104</v>
      </c>
      <c r="T150" s="6">
        <v>9</v>
      </c>
      <c r="U150" s="6"/>
      <c r="V150" s="6">
        <v>28</v>
      </c>
      <c r="W150" s="6">
        <v>75</v>
      </c>
      <c r="X150" s="6">
        <v>1</v>
      </c>
      <c r="Y150" s="6"/>
      <c r="Z150" s="10">
        <v>0.33</v>
      </c>
      <c r="AA150" s="11" t="s">
        <v>742</v>
      </c>
      <c r="AB150" s="3" t="s">
        <v>57</v>
      </c>
      <c r="AC150" s="3"/>
      <c r="AD150" s="3" t="s">
        <v>445</v>
      </c>
      <c r="AE150" s="11" t="s">
        <v>743</v>
      </c>
    </row>
    <row r="151" spans="1:31" x14ac:dyDescent="0.25">
      <c r="A151" s="2" t="s">
        <v>744</v>
      </c>
      <c r="B151" s="3" t="s">
        <v>34</v>
      </c>
      <c r="C151" s="3" t="s">
        <v>35</v>
      </c>
      <c r="D151" s="4" t="s">
        <v>44</v>
      </c>
      <c r="E151" s="3" t="s">
        <v>735</v>
      </c>
      <c r="F151" s="3" t="s">
        <v>744</v>
      </c>
      <c r="G151" s="4" t="s">
        <v>745</v>
      </c>
      <c r="H151" s="3" t="s">
        <v>39</v>
      </c>
      <c r="I151" s="5">
        <v>45.188499999999998</v>
      </c>
      <c r="J151" s="5">
        <v>6.4828999999999999</v>
      </c>
      <c r="K151" s="6">
        <v>1618</v>
      </c>
      <c r="L151" s="3" t="s">
        <v>586</v>
      </c>
      <c r="M151" s="7">
        <v>1406</v>
      </c>
      <c r="N151" s="7">
        <v>2741</v>
      </c>
      <c r="O151" s="7">
        <f t="shared" si="2"/>
        <v>1335</v>
      </c>
      <c r="P151" s="7">
        <v>2115</v>
      </c>
      <c r="Q151" s="8">
        <v>0.627</v>
      </c>
      <c r="R151" s="9">
        <v>195.7</v>
      </c>
      <c r="S151" s="6">
        <v>251</v>
      </c>
      <c r="T151" s="6">
        <v>34</v>
      </c>
      <c r="U151" s="6">
        <v>54</v>
      </c>
      <c r="V151" s="6">
        <v>97</v>
      </c>
      <c r="W151" s="6">
        <v>78</v>
      </c>
      <c r="X151" s="6">
        <v>16</v>
      </c>
      <c r="Y151" s="6">
        <v>6</v>
      </c>
      <c r="Z151" s="10">
        <v>0.13</v>
      </c>
      <c r="AA151" s="11" t="s">
        <v>746</v>
      </c>
      <c r="AB151" s="3" t="s">
        <v>103</v>
      </c>
      <c r="AC151" s="11" t="s">
        <v>747</v>
      </c>
      <c r="AD151" s="3" t="s">
        <v>588</v>
      </c>
      <c r="AE151" s="11" t="s">
        <v>748</v>
      </c>
    </row>
    <row r="152" spans="1:31" x14ac:dyDescent="0.25">
      <c r="A152" s="2" t="s">
        <v>749</v>
      </c>
      <c r="B152" s="3" t="s">
        <v>34</v>
      </c>
      <c r="C152" s="3" t="s">
        <v>35</v>
      </c>
      <c r="D152" s="4" t="s">
        <v>44</v>
      </c>
      <c r="E152" s="3" t="s">
        <v>750</v>
      </c>
      <c r="F152" s="3" t="s">
        <v>751</v>
      </c>
      <c r="G152" s="4" t="s">
        <v>752</v>
      </c>
      <c r="H152" s="3" t="s">
        <v>39</v>
      </c>
      <c r="I152" s="5">
        <v>45.458300000000001</v>
      </c>
      <c r="J152" s="5">
        <v>6.4359999999999999</v>
      </c>
      <c r="K152" s="6">
        <v>1488</v>
      </c>
      <c r="L152" s="3" t="s">
        <v>645</v>
      </c>
      <c r="M152" s="7">
        <v>1219</v>
      </c>
      <c r="N152" s="7">
        <v>2516</v>
      </c>
      <c r="O152" s="7">
        <f t="shared" si="2"/>
        <v>1297</v>
      </c>
      <c r="P152" s="7">
        <v>1821</v>
      </c>
      <c r="Q152" s="8">
        <v>0.187</v>
      </c>
      <c r="R152" s="9">
        <v>236.5</v>
      </c>
      <c r="S152" s="6">
        <v>280</v>
      </c>
      <c r="T152" s="6">
        <v>53</v>
      </c>
      <c r="U152" s="6">
        <v>75</v>
      </c>
      <c r="V152" s="6">
        <v>149</v>
      </c>
      <c r="W152" s="6">
        <v>34</v>
      </c>
      <c r="X152" s="6">
        <v>14</v>
      </c>
      <c r="Y152" s="6">
        <v>8</v>
      </c>
      <c r="Z152" s="10">
        <v>0.08</v>
      </c>
      <c r="AA152" s="11" t="s">
        <v>753</v>
      </c>
      <c r="AB152" s="3" t="s">
        <v>85</v>
      </c>
      <c r="AC152" s="11" t="s">
        <v>754</v>
      </c>
      <c r="AD152" s="3" t="s">
        <v>648</v>
      </c>
      <c r="AE152" s="11" t="s">
        <v>755</v>
      </c>
    </row>
    <row r="153" spans="1:31" x14ac:dyDescent="0.25">
      <c r="A153" s="2" t="s">
        <v>756</v>
      </c>
      <c r="B153" s="3" t="s">
        <v>34</v>
      </c>
      <c r="C153" s="3" t="s">
        <v>35</v>
      </c>
      <c r="D153" s="4" t="s">
        <v>68</v>
      </c>
      <c r="E153" s="3" t="s">
        <v>591</v>
      </c>
      <c r="F153" s="3" t="s">
        <v>756</v>
      </c>
      <c r="G153" s="4" t="s">
        <v>757</v>
      </c>
      <c r="H153" s="3" t="s">
        <v>39</v>
      </c>
      <c r="I153" s="5">
        <v>45.157600000000002</v>
      </c>
      <c r="J153" s="5">
        <v>6.0732999999999997</v>
      </c>
      <c r="K153" s="6">
        <v>1207</v>
      </c>
      <c r="L153" s="3" t="s">
        <v>72</v>
      </c>
      <c r="M153" s="7">
        <v>1124</v>
      </c>
      <c r="N153" s="7">
        <v>3314</v>
      </c>
      <c r="O153" s="7">
        <f t="shared" si="2"/>
        <v>2190</v>
      </c>
      <c r="P153" s="7">
        <v>1975</v>
      </c>
      <c r="Q153" s="8">
        <v>0.45</v>
      </c>
      <c r="R153" s="9">
        <v>190.2</v>
      </c>
      <c r="S153" s="6">
        <v>350</v>
      </c>
      <c r="T153" s="6">
        <v>82</v>
      </c>
      <c r="U153" s="6">
        <v>131</v>
      </c>
      <c r="V153" s="6">
        <v>89</v>
      </c>
      <c r="W153" s="6">
        <v>75</v>
      </c>
      <c r="X153" s="6">
        <v>33</v>
      </c>
      <c r="Y153" s="6">
        <v>22</v>
      </c>
      <c r="Z153" s="10">
        <v>0.61</v>
      </c>
      <c r="AA153" s="11" t="s">
        <v>758</v>
      </c>
      <c r="AB153" s="3" t="s">
        <v>85</v>
      </c>
      <c r="AC153" s="11" t="s">
        <v>759</v>
      </c>
      <c r="AD153" s="3" t="s">
        <v>76</v>
      </c>
      <c r="AE153" s="11" t="s">
        <v>760</v>
      </c>
    </row>
    <row r="154" spans="1:31" x14ac:dyDescent="0.25">
      <c r="A154" s="2" t="s">
        <v>761</v>
      </c>
      <c r="B154" s="3" t="s">
        <v>34</v>
      </c>
      <c r="C154" s="3" t="s">
        <v>35</v>
      </c>
      <c r="D154" s="4" t="s">
        <v>68</v>
      </c>
      <c r="E154" s="3" t="s">
        <v>364</v>
      </c>
      <c r="F154" s="3" t="s">
        <v>762</v>
      </c>
      <c r="G154" s="4" t="s">
        <v>763</v>
      </c>
      <c r="H154" s="3" t="s">
        <v>39</v>
      </c>
      <c r="I154" s="5">
        <v>45.068199999999997</v>
      </c>
      <c r="J154" s="5">
        <v>5.5511999999999997</v>
      </c>
      <c r="K154" s="6">
        <v>995</v>
      </c>
      <c r="L154" s="3" t="s">
        <v>764</v>
      </c>
      <c r="M154" s="7">
        <v>1000</v>
      </c>
      <c r="N154" s="7">
        <v>1342</v>
      </c>
      <c r="O154" s="7">
        <f t="shared" si="2"/>
        <v>342</v>
      </c>
      <c r="P154" s="7">
        <v>1187</v>
      </c>
      <c r="Q154" s="8">
        <v>0</v>
      </c>
      <c r="R154" s="9">
        <v>3.4</v>
      </c>
      <c r="S154" s="6">
        <v>2</v>
      </c>
      <c r="T154" s="6">
        <v>3</v>
      </c>
      <c r="U154" s="6">
        <v>2</v>
      </c>
      <c r="V154" s="6"/>
      <c r="W154" s="6"/>
      <c r="X154" s="6"/>
      <c r="Y154" s="6"/>
      <c r="Z154" s="10">
        <v>0.21</v>
      </c>
      <c r="AA154" s="11" t="s">
        <v>765</v>
      </c>
      <c r="AB154" s="3"/>
      <c r="AC154" s="11" t="s">
        <v>766</v>
      </c>
      <c r="AD154" s="3" t="s">
        <v>767</v>
      </c>
      <c r="AE154" s="11" t="s">
        <v>768</v>
      </c>
    </row>
    <row r="155" spans="1:31" x14ac:dyDescent="0.25">
      <c r="A155" s="2" t="s">
        <v>769</v>
      </c>
      <c r="B155" s="3" t="s">
        <v>34</v>
      </c>
      <c r="C155" s="3" t="s">
        <v>35</v>
      </c>
      <c r="D155" s="4" t="s">
        <v>68</v>
      </c>
      <c r="E155" s="3" t="s">
        <v>591</v>
      </c>
      <c r="F155" s="3" t="s">
        <v>769</v>
      </c>
      <c r="G155" s="4" t="s">
        <v>770</v>
      </c>
      <c r="H155" s="3" t="s">
        <v>39</v>
      </c>
      <c r="I155" s="5">
        <v>45.093108999999998</v>
      </c>
      <c r="J155" s="5">
        <v>6.0331970000000004</v>
      </c>
      <c r="K155" s="6">
        <v>1501</v>
      </c>
      <c r="L155" s="3" t="s">
        <v>72</v>
      </c>
      <c r="M155" s="7">
        <v>1124</v>
      </c>
      <c r="N155" s="7">
        <v>3314</v>
      </c>
      <c r="O155" s="7">
        <f t="shared" si="2"/>
        <v>2190</v>
      </c>
      <c r="P155" s="7">
        <v>1975</v>
      </c>
      <c r="Q155" s="8">
        <v>0.45</v>
      </c>
      <c r="R155" s="9">
        <v>190.2</v>
      </c>
      <c r="S155" s="6">
        <v>350</v>
      </c>
      <c r="T155" s="6">
        <v>82</v>
      </c>
      <c r="U155" s="6">
        <v>131</v>
      </c>
      <c r="V155" s="6">
        <v>89</v>
      </c>
      <c r="W155" s="6">
        <v>75</v>
      </c>
      <c r="X155" s="6">
        <v>33</v>
      </c>
      <c r="Y155" s="6">
        <v>22</v>
      </c>
      <c r="Z155" s="10">
        <v>0.23</v>
      </c>
      <c r="AA155" s="3"/>
      <c r="AB155" s="3"/>
      <c r="AC155" s="3"/>
      <c r="AD155" s="3" t="s">
        <v>76</v>
      </c>
      <c r="AE155" s="11" t="s">
        <v>771</v>
      </c>
    </row>
    <row r="156" spans="1:31" x14ac:dyDescent="0.25">
      <c r="A156" s="2" t="s">
        <v>772</v>
      </c>
      <c r="B156" s="3" t="s">
        <v>34</v>
      </c>
      <c r="C156" s="3" t="s">
        <v>35</v>
      </c>
      <c r="D156" s="4" t="s">
        <v>44</v>
      </c>
      <c r="E156" s="3" t="s">
        <v>680</v>
      </c>
      <c r="F156" s="3" t="s">
        <v>772</v>
      </c>
      <c r="G156" s="4" t="s">
        <v>773</v>
      </c>
      <c r="H156" s="3" t="s">
        <v>39</v>
      </c>
      <c r="I156" s="5">
        <v>45.582090000000001</v>
      </c>
      <c r="J156" s="5">
        <v>6.8743530000000002</v>
      </c>
      <c r="K156" s="6">
        <v>1314</v>
      </c>
      <c r="L156" s="3" t="s">
        <v>55</v>
      </c>
      <c r="M156" s="7">
        <v>1199</v>
      </c>
      <c r="N156" s="7">
        <v>3216</v>
      </c>
      <c r="O156" s="7">
        <f t="shared" si="2"/>
        <v>2017</v>
      </c>
      <c r="P156" s="7">
        <v>2076</v>
      </c>
      <c r="Q156" s="8">
        <v>0.59799999999999998</v>
      </c>
      <c r="R156" s="9">
        <v>487.8</v>
      </c>
      <c r="S156" s="6">
        <v>680</v>
      </c>
      <c r="T156" s="6">
        <v>87</v>
      </c>
      <c r="U156" s="6">
        <v>47</v>
      </c>
      <c r="V156" s="6">
        <v>395</v>
      </c>
      <c r="W156" s="6">
        <v>150</v>
      </c>
      <c r="X156" s="6">
        <v>60</v>
      </c>
      <c r="Y156" s="6">
        <v>28</v>
      </c>
      <c r="Z156" s="10">
        <v>0.03</v>
      </c>
      <c r="AA156" s="11" t="s">
        <v>774</v>
      </c>
      <c r="AB156" s="3" t="s">
        <v>775</v>
      </c>
      <c r="AC156" s="3"/>
      <c r="AD156" s="3" t="s">
        <v>58</v>
      </c>
      <c r="AE156" s="11" t="s">
        <v>776</v>
      </c>
    </row>
    <row r="157" spans="1:31" x14ac:dyDescent="0.25">
      <c r="A157" s="2" t="s">
        <v>777</v>
      </c>
      <c r="B157" s="3" t="s">
        <v>34</v>
      </c>
      <c r="C157" s="3" t="s">
        <v>778</v>
      </c>
      <c r="D157" s="4" t="s">
        <v>779</v>
      </c>
      <c r="E157" s="3" t="s">
        <v>780</v>
      </c>
      <c r="F157" s="3" t="s">
        <v>781</v>
      </c>
      <c r="G157" s="4" t="s">
        <v>782</v>
      </c>
      <c r="H157" s="3" t="s">
        <v>39</v>
      </c>
      <c r="I157" s="5">
        <v>44.774700000000003</v>
      </c>
      <c r="J157" s="5">
        <v>6.9536369999999996</v>
      </c>
      <c r="K157" s="6">
        <v>1612</v>
      </c>
      <c r="L157" s="3" t="s">
        <v>783</v>
      </c>
      <c r="M157" s="7">
        <v>1548</v>
      </c>
      <c r="N157" s="7">
        <v>2401</v>
      </c>
      <c r="O157" s="7">
        <f t="shared" si="2"/>
        <v>853</v>
      </c>
      <c r="P157" s="7">
        <v>2037</v>
      </c>
      <c r="Q157" s="8">
        <v>0.55500000000000005</v>
      </c>
      <c r="R157" s="9">
        <v>26</v>
      </c>
      <c r="S157" s="6">
        <v>37</v>
      </c>
      <c r="T157" s="6">
        <v>8</v>
      </c>
      <c r="U157" s="6">
        <v>3</v>
      </c>
      <c r="V157" s="6">
        <v>9</v>
      </c>
      <c r="W157" s="6">
        <v>22</v>
      </c>
      <c r="X157" s="6">
        <v>3</v>
      </c>
      <c r="Y157" s="6"/>
      <c r="Z157" s="10">
        <v>0.48</v>
      </c>
      <c r="AA157" s="3"/>
      <c r="AB157" s="3"/>
      <c r="AC157" s="3"/>
      <c r="AD157" s="3" t="s">
        <v>784</v>
      </c>
      <c r="AE157" s="11" t="s">
        <v>785</v>
      </c>
    </row>
    <row r="158" spans="1:31" x14ac:dyDescent="0.25">
      <c r="A158" s="2" t="s">
        <v>786</v>
      </c>
      <c r="B158" s="3" t="s">
        <v>34</v>
      </c>
      <c r="C158" s="3" t="s">
        <v>778</v>
      </c>
      <c r="D158" s="4" t="s">
        <v>779</v>
      </c>
      <c r="E158" s="3" t="s">
        <v>787</v>
      </c>
      <c r="F158" s="3" t="s">
        <v>788</v>
      </c>
      <c r="G158" s="4" t="s">
        <v>789</v>
      </c>
      <c r="H158" s="3" t="s">
        <v>39</v>
      </c>
      <c r="I158" s="5">
        <v>44.623462000000004</v>
      </c>
      <c r="J158" s="5">
        <v>6.2057989999999998</v>
      </c>
      <c r="K158" s="6">
        <v>1344</v>
      </c>
      <c r="L158" s="3" t="s">
        <v>788</v>
      </c>
      <c r="M158" s="7">
        <v>1322</v>
      </c>
      <c r="N158" s="7">
        <v>1803</v>
      </c>
      <c r="O158" s="7">
        <f t="shared" si="2"/>
        <v>481</v>
      </c>
      <c r="P158" s="7">
        <v>1550</v>
      </c>
      <c r="Q158" s="8">
        <v>0</v>
      </c>
      <c r="R158" s="9">
        <v>34</v>
      </c>
      <c r="S158" s="6">
        <v>61</v>
      </c>
      <c r="T158" s="6">
        <v>14</v>
      </c>
      <c r="U158" s="6">
        <v>16</v>
      </c>
      <c r="V158" s="6">
        <v>27</v>
      </c>
      <c r="W158" s="6">
        <v>16</v>
      </c>
      <c r="X158" s="6">
        <v>2</v>
      </c>
      <c r="Y158" s="6"/>
      <c r="Z158" s="10">
        <v>0.46</v>
      </c>
      <c r="AA158" s="3"/>
      <c r="AB158" s="3"/>
      <c r="AC158" s="3"/>
      <c r="AD158" s="3" t="s">
        <v>790</v>
      </c>
      <c r="AE158" s="11" t="s">
        <v>791</v>
      </c>
    </row>
    <row r="159" spans="1:31" x14ac:dyDescent="0.25">
      <c r="A159" s="2" t="s">
        <v>792</v>
      </c>
      <c r="B159" s="3" t="s">
        <v>34</v>
      </c>
      <c r="C159" s="3" t="s">
        <v>778</v>
      </c>
      <c r="D159" s="4" t="s">
        <v>779</v>
      </c>
      <c r="E159" s="3" t="s">
        <v>793</v>
      </c>
      <c r="F159" s="3" t="s">
        <v>792</v>
      </c>
      <c r="G159" s="4" t="s">
        <v>794</v>
      </c>
      <c r="H159" s="3" t="s">
        <v>39</v>
      </c>
      <c r="I159" s="5">
        <v>44.763280999999999</v>
      </c>
      <c r="J159" s="5">
        <v>6.743004</v>
      </c>
      <c r="K159" s="6">
        <v>1538</v>
      </c>
      <c r="L159" s="3" t="s">
        <v>795</v>
      </c>
      <c r="M159" s="7">
        <v>1692</v>
      </c>
      <c r="N159" s="7">
        <v>2106</v>
      </c>
      <c r="O159" s="7">
        <f t="shared" si="2"/>
        <v>414</v>
      </c>
      <c r="P159" s="7">
        <v>1916</v>
      </c>
      <c r="Q159" s="8">
        <v>0.26900000000000002</v>
      </c>
      <c r="R159" s="9">
        <v>14.3</v>
      </c>
      <c r="S159" s="6">
        <v>29</v>
      </c>
      <c r="T159" s="6">
        <v>6</v>
      </c>
      <c r="U159" s="6">
        <v>13</v>
      </c>
      <c r="V159" s="6">
        <v>5</v>
      </c>
      <c r="W159" s="6">
        <v>10</v>
      </c>
      <c r="X159" s="6">
        <v>1</v>
      </c>
      <c r="Y159" s="6"/>
      <c r="Z159" s="10">
        <v>1.32</v>
      </c>
      <c r="AA159" s="3"/>
      <c r="AB159" s="3"/>
      <c r="AC159" s="3"/>
      <c r="AD159" s="3" t="s">
        <v>796</v>
      </c>
      <c r="AE159" s="11" t="s">
        <v>797</v>
      </c>
    </row>
    <row r="160" spans="1:31" x14ac:dyDescent="0.25">
      <c r="A160" s="2" t="s">
        <v>798</v>
      </c>
      <c r="B160" s="3" t="s">
        <v>34</v>
      </c>
      <c r="C160" s="3" t="s">
        <v>778</v>
      </c>
      <c r="D160" s="4" t="s">
        <v>799</v>
      </c>
      <c r="E160" s="3" t="s">
        <v>800</v>
      </c>
      <c r="F160" s="3" t="s">
        <v>801</v>
      </c>
      <c r="G160" s="4" t="s">
        <v>802</v>
      </c>
      <c r="H160" s="3" t="s">
        <v>39</v>
      </c>
      <c r="I160" s="5">
        <v>43.751600000000003</v>
      </c>
      <c r="J160" s="5">
        <v>6.8323999999999998</v>
      </c>
      <c r="K160" s="6">
        <v>1328</v>
      </c>
      <c r="L160" s="3" t="s">
        <v>803</v>
      </c>
      <c r="M160" s="7">
        <v>1276</v>
      </c>
      <c r="N160" s="7">
        <v>1633</v>
      </c>
      <c r="O160" s="7">
        <f t="shared" si="2"/>
        <v>357</v>
      </c>
      <c r="P160" s="7">
        <v>1485</v>
      </c>
      <c r="Q160" s="8">
        <v>0</v>
      </c>
      <c r="R160" s="9">
        <v>17.3</v>
      </c>
      <c r="S160" s="6">
        <v>26</v>
      </c>
      <c r="T160" s="6">
        <v>7</v>
      </c>
      <c r="U160" s="6">
        <v>6</v>
      </c>
      <c r="V160" s="6">
        <v>6</v>
      </c>
      <c r="W160" s="6">
        <v>13</v>
      </c>
      <c r="X160" s="6">
        <v>1</v>
      </c>
      <c r="Y160" s="6"/>
      <c r="Z160" s="10">
        <v>3.18</v>
      </c>
      <c r="AA160" s="3"/>
      <c r="AB160" s="3"/>
      <c r="AC160" s="3"/>
      <c r="AD160" s="3" t="s">
        <v>804</v>
      </c>
      <c r="AE160" s="11" t="s">
        <v>805</v>
      </c>
    </row>
    <row r="161" spans="1:31" x14ac:dyDescent="0.25">
      <c r="A161" s="2" t="s">
        <v>806</v>
      </c>
      <c r="B161" s="3" t="s">
        <v>34</v>
      </c>
      <c r="C161" s="3" t="s">
        <v>778</v>
      </c>
      <c r="D161" s="4" t="s">
        <v>799</v>
      </c>
      <c r="E161" s="3" t="s">
        <v>807</v>
      </c>
      <c r="F161" s="3" t="s">
        <v>808</v>
      </c>
      <c r="G161" s="4" t="s">
        <v>809</v>
      </c>
      <c r="H161" s="3" t="s">
        <v>39</v>
      </c>
      <c r="I161" s="5">
        <v>44.225898200000003</v>
      </c>
      <c r="J161" s="5">
        <v>6.9303740999999999</v>
      </c>
      <c r="K161" s="6">
        <v>1603</v>
      </c>
      <c r="L161" s="3" t="s">
        <v>806</v>
      </c>
      <c r="M161" s="7">
        <v>1597</v>
      </c>
      <c r="N161" s="7">
        <v>2445</v>
      </c>
      <c r="O161" s="7">
        <f t="shared" si="2"/>
        <v>848</v>
      </c>
      <c r="P161" s="7">
        <v>1964</v>
      </c>
      <c r="Q161" s="8">
        <v>0.45600000000000002</v>
      </c>
      <c r="R161" s="9">
        <v>61.6</v>
      </c>
      <c r="S161" s="6">
        <v>64</v>
      </c>
      <c r="T161" s="6">
        <v>20</v>
      </c>
      <c r="U161" s="6">
        <v>5</v>
      </c>
      <c r="V161" s="6">
        <v>32</v>
      </c>
      <c r="W161" s="6">
        <v>18</v>
      </c>
      <c r="X161" s="6">
        <v>9</v>
      </c>
      <c r="Y161" s="6"/>
      <c r="Z161" s="10">
        <v>0.2</v>
      </c>
      <c r="AA161" s="11" t="s">
        <v>810</v>
      </c>
      <c r="AB161" s="3" t="s">
        <v>775</v>
      </c>
      <c r="AC161" s="11" t="s">
        <v>811</v>
      </c>
      <c r="AD161" s="3" t="s">
        <v>812</v>
      </c>
      <c r="AE161" s="11" t="s">
        <v>813</v>
      </c>
    </row>
    <row r="162" spans="1:31" x14ac:dyDescent="0.25">
      <c r="A162" s="2" t="s">
        <v>814</v>
      </c>
      <c r="B162" s="3" t="s">
        <v>34</v>
      </c>
      <c r="C162" s="3" t="s">
        <v>778</v>
      </c>
      <c r="D162" s="4" t="s">
        <v>779</v>
      </c>
      <c r="E162" s="3" t="s">
        <v>815</v>
      </c>
      <c r="F162" s="3" t="s">
        <v>816</v>
      </c>
      <c r="G162" s="4" t="s">
        <v>817</v>
      </c>
      <c r="H162" s="3" t="s">
        <v>39</v>
      </c>
      <c r="I162" s="5">
        <v>44.673175000000001</v>
      </c>
      <c r="J162" s="5">
        <v>6.7716940000000001</v>
      </c>
      <c r="K162" s="6">
        <v>1718</v>
      </c>
      <c r="L162" s="3" t="s">
        <v>818</v>
      </c>
      <c r="M162" s="7">
        <v>1652</v>
      </c>
      <c r="N162" s="7">
        <v>2449</v>
      </c>
      <c r="O162" s="7">
        <f t="shared" si="2"/>
        <v>797</v>
      </c>
      <c r="P162" s="7">
        <v>2019</v>
      </c>
      <c r="Q162" s="8">
        <v>0.51400000000000001</v>
      </c>
      <c r="R162" s="9">
        <v>17.899999999999999</v>
      </c>
      <c r="S162" s="6">
        <v>33</v>
      </c>
      <c r="T162" s="6">
        <v>5</v>
      </c>
      <c r="U162" s="6">
        <v>6</v>
      </c>
      <c r="V162" s="6">
        <v>11</v>
      </c>
      <c r="W162" s="6">
        <v>14</v>
      </c>
      <c r="X162" s="6">
        <v>1</v>
      </c>
      <c r="Y162" s="6">
        <v>1</v>
      </c>
      <c r="Z162" s="10">
        <v>0.62</v>
      </c>
      <c r="AA162" s="3"/>
      <c r="AB162" s="3"/>
      <c r="AC162" s="3"/>
      <c r="AD162" s="3" t="s">
        <v>819</v>
      </c>
      <c r="AE162" s="11" t="s">
        <v>820</v>
      </c>
    </row>
    <row r="163" spans="1:31" x14ac:dyDescent="0.25">
      <c r="A163" s="2" t="s">
        <v>821</v>
      </c>
      <c r="B163" s="3" t="s">
        <v>34</v>
      </c>
      <c r="C163" s="3" t="s">
        <v>778</v>
      </c>
      <c r="D163" s="4" t="s">
        <v>822</v>
      </c>
      <c r="E163" s="3" t="s">
        <v>823</v>
      </c>
      <c r="F163" s="3" t="s">
        <v>824</v>
      </c>
      <c r="G163" s="4" t="s">
        <v>825</v>
      </c>
      <c r="H163" s="3" t="s">
        <v>39</v>
      </c>
      <c r="I163" s="5">
        <v>44.371361</v>
      </c>
      <c r="J163" s="5">
        <v>6.3121129900000001</v>
      </c>
      <c r="K163" s="6">
        <v>1059</v>
      </c>
      <c r="L163" s="3" t="s">
        <v>821</v>
      </c>
      <c r="M163" s="7">
        <v>1528</v>
      </c>
      <c r="N163" s="7">
        <v>2028</v>
      </c>
      <c r="O163" s="7">
        <f t="shared" si="2"/>
        <v>500</v>
      </c>
      <c r="P163" s="7">
        <v>1778</v>
      </c>
      <c r="Q163" s="8">
        <v>0.03</v>
      </c>
      <c r="R163" s="9">
        <v>26.3</v>
      </c>
      <c r="S163" s="6">
        <v>43</v>
      </c>
      <c r="T163" s="6">
        <v>12</v>
      </c>
      <c r="U163" s="6">
        <v>17</v>
      </c>
      <c r="V163" s="6">
        <v>8</v>
      </c>
      <c r="W163" s="6">
        <v>15</v>
      </c>
      <c r="X163" s="6">
        <v>3</v>
      </c>
      <c r="Y163" s="6"/>
      <c r="Z163" s="10">
        <v>2.37</v>
      </c>
      <c r="AA163" s="11" t="s">
        <v>826</v>
      </c>
      <c r="AB163" s="3"/>
      <c r="AC163" s="11" t="s">
        <v>827</v>
      </c>
      <c r="AD163" s="3" t="s">
        <v>828</v>
      </c>
      <c r="AE163" s="11" t="s">
        <v>829</v>
      </c>
    </row>
    <row r="164" spans="1:31" x14ac:dyDescent="0.25">
      <c r="A164" s="2" t="s">
        <v>830</v>
      </c>
      <c r="B164" s="3" t="s">
        <v>34</v>
      </c>
      <c r="C164" s="3" t="s">
        <v>778</v>
      </c>
      <c r="D164" s="4" t="s">
        <v>779</v>
      </c>
      <c r="E164" s="3" t="s">
        <v>831</v>
      </c>
      <c r="F164" s="3" t="s">
        <v>830</v>
      </c>
      <c r="G164" s="4" t="s">
        <v>832</v>
      </c>
      <c r="H164" s="3" t="s">
        <v>39</v>
      </c>
      <c r="I164" s="5">
        <v>44.550319999999999</v>
      </c>
      <c r="J164" s="5">
        <v>6.5953590000000002</v>
      </c>
      <c r="K164" s="6">
        <v>1528</v>
      </c>
      <c r="L164" s="3" t="s">
        <v>830</v>
      </c>
      <c r="M164" s="7">
        <v>1615</v>
      </c>
      <c r="N164" s="7">
        <v>2537</v>
      </c>
      <c r="O164" s="7">
        <f t="shared" si="2"/>
        <v>922</v>
      </c>
      <c r="P164" s="7">
        <v>2090</v>
      </c>
      <c r="Q164" s="8">
        <v>0.61299999999999999</v>
      </c>
      <c r="R164" s="9">
        <v>20.2</v>
      </c>
      <c r="S164" s="6">
        <v>29</v>
      </c>
      <c r="T164" s="6">
        <v>5</v>
      </c>
      <c r="U164" s="6">
        <v>5</v>
      </c>
      <c r="V164" s="6">
        <v>14</v>
      </c>
      <c r="W164" s="6">
        <v>7</v>
      </c>
      <c r="X164" s="6">
        <v>1</v>
      </c>
      <c r="Y164" s="6">
        <v>2</v>
      </c>
      <c r="Z164" s="10">
        <v>0.88</v>
      </c>
      <c r="AA164" s="3"/>
      <c r="AB164" s="3"/>
      <c r="AC164" s="3"/>
      <c r="AD164" s="3" t="s">
        <v>833</v>
      </c>
      <c r="AE164" s="11" t="s">
        <v>834</v>
      </c>
    </row>
    <row r="165" spans="1:31" x14ac:dyDescent="0.25">
      <c r="A165" s="2" t="s">
        <v>835</v>
      </c>
      <c r="B165" s="3" t="s">
        <v>34</v>
      </c>
      <c r="C165" s="3" t="s">
        <v>778</v>
      </c>
      <c r="D165" s="4" t="s">
        <v>799</v>
      </c>
      <c r="E165" s="3" t="s">
        <v>836</v>
      </c>
      <c r="F165" s="3" t="s">
        <v>837</v>
      </c>
      <c r="G165" s="4" t="s">
        <v>838</v>
      </c>
      <c r="H165" s="3" t="s">
        <v>39</v>
      </c>
      <c r="I165" s="5">
        <v>43.833188499999999</v>
      </c>
      <c r="J165" s="5">
        <v>6.9650642999999999</v>
      </c>
      <c r="K165" s="6">
        <v>1400</v>
      </c>
      <c r="L165" s="3" t="s">
        <v>839</v>
      </c>
      <c r="M165" s="7">
        <v>1398</v>
      </c>
      <c r="N165" s="7">
        <v>1765</v>
      </c>
      <c r="O165" s="7">
        <f t="shared" si="2"/>
        <v>367</v>
      </c>
      <c r="P165" s="7">
        <v>1608</v>
      </c>
      <c r="Q165" s="8">
        <v>0</v>
      </c>
      <c r="R165" s="9">
        <v>23</v>
      </c>
      <c r="S165" s="6">
        <v>39</v>
      </c>
      <c r="T165" s="6">
        <v>9</v>
      </c>
      <c r="U165" s="6">
        <v>5</v>
      </c>
      <c r="V165" s="6">
        <v>13</v>
      </c>
      <c r="W165" s="6">
        <v>19</v>
      </c>
      <c r="X165" s="6">
        <v>2</v>
      </c>
      <c r="Y165" s="6"/>
      <c r="Z165" s="10">
        <v>0.49</v>
      </c>
      <c r="AA165" s="11" t="s">
        <v>840</v>
      </c>
      <c r="AB165" s="3"/>
      <c r="AC165" s="3"/>
      <c r="AD165" s="3" t="s">
        <v>841</v>
      </c>
      <c r="AE165" s="11" t="s">
        <v>842</v>
      </c>
    </row>
    <row r="166" spans="1:31" x14ac:dyDescent="0.25">
      <c r="A166" s="2" t="s">
        <v>843</v>
      </c>
      <c r="B166" s="3" t="s">
        <v>34</v>
      </c>
      <c r="C166" s="3" t="s">
        <v>778</v>
      </c>
      <c r="D166" s="4" t="s">
        <v>799</v>
      </c>
      <c r="E166" s="3" t="s">
        <v>844</v>
      </c>
      <c r="F166" s="3" t="s">
        <v>845</v>
      </c>
      <c r="G166" s="4" t="s">
        <v>846</v>
      </c>
      <c r="H166" s="3" t="s">
        <v>39</v>
      </c>
      <c r="I166" s="5">
        <v>44.194299999999998</v>
      </c>
      <c r="J166" s="5">
        <v>7.1510999999999996</v>
      </c>
      <c r="K166" s="6">
        <v>2095</v>
      </c>
      <c r="L166" s="3" t="s">
        <v>843</v>
      </c>
      <c r="M166" s="7">
        <v>1827</v>
      </c>
      <c r="N166" s="7">
        <v>2601</v>
      </c>
      <c r="O166" s="7">
        <f t="shared" si="2"/>
        <v>774</v>
      </c>
      <c r="P166" s="7">
        <v>2176</v>
      </c>
      <c r="Q166" s="8">
        <v>0.86799999999999999</v>
      </c>
      <c r="R166" s="9">
        <v>54.4</v>
      </c>
      <c r="S166" s="6">
        <v>61</v>
      </c>
      <c r="T166" s="6">
        <v>20</v>
      </c>
      <c r="U166" s="6">
        <v>9</v>
      </c>
      <c r="V166" s="6">
        <v>26</v>
      </c>
      <c r="W166" s="6">
        <v>21</v>
      </c>
      <c r="X166" s="6">
        <v>4</v>
      </c>
      <c r="Y166" s="6">
        <v>1</v>
      </c>
      <c r="Z166" s="10">
        <v>0.21</v>
      </c>
      <c r="AA166" s="11" t="s">
        <v>847</v>
      </c>
      <c r="AB166" s="3" t="s">
        <v>848</v>
      </c>
      <c r="AC166" s="11" t="s">
        <v>849</v>
      </c>
      <c r="AD166" s="3" t="s">
        <v>850</v>
      </c>
      <c r="AE166" s="11" t="s">
        <v>851</v>
      </c>
    </row>
    <row r="167" spans="1:31" x14ac:dyDescent="0.25">
      <c r="A167" s="2" t="s">
        <v>852</v>
      </c>
      <c r="B167" s="3" t="s">
        <v>34</v>
      </c>
      <c r="C167" s="3" t="s">
        <v>778</v>
      </c>
      <c r="D167" s="4" t="s">
        <v>799</v>
      </c>
      <c r="E167" s="3" t="s">
        <v>844</v>
      </c>
      <c r="F167" s="3" t="s">
        <v>853</v>
      </c>
      <c r="G167" s="4" t="s">
        <v>854</v>
      </c>
      <c r="H167" s="3" t="s">
        <v>39</v>
      </c>
      <c r="I167" s="5">
        <v>44.070651900000001</v>
      </c>
      <c r="J167" s="5">
        <v>7.2223114900000001</v>
      </c>
      <c r="K167" s="6">
        <v>1503</v>
      </c>
      <c r="L167" s="3" t="s">
        <v>852</v>
      </c>
      <c r="M167" s="7">
        <v>1431</v>
      </c>
      <c r="N167" s="7">
        <v>1786</v>
      </c>
      <c r="O167" s="7">
        <f t="shared" si="2"/>
        <v>355</v>
      </c>
      <c r="P167" s="7">
        <v>1603</v>
      </c>
      <c r="Q167" s="8">
        <v>0</v>
      </c>
      <c r="R167" s="9">
        <v>14.2</v>
      </c>
      <c r="S167" s="6">
        <v>19</v>
      </c>
      <c r="T167" s="6">
        <v>6</v>
      </c>
      <c r="U167" s="6">
        <v>4</v>
      </c>
      <c r="V167" s="6">
        <v>7</v>
      </c>
      <c r="W167" s="6">
        <v>6</v>
      </c>
      <c r="X167" s="6">
        <v>2</v>
      </c>
      <c r="Y167" s="6"/>
      <c r="Z167" s="10">
        <v>0.02</v>
      </c>
      <c r="AA167" s="11" t="s">
        <v>855</v>
      </c>
      <c r="AB167" s="3"/>
      <c r="AC167" s="11" t="s">
        <v>856</v>
      </c>
      <c r="AD167" s="3" t="s">
        <v>857</v>
      </c>
      <c r="AE167" s="11" t="s">
        <v>858</v>
      </c>
    </row>
    <row r="168" spans="1:31" x14ac:dyDescent="0.25">
      <c r="A168" s="2" t="s">
        <v>859</v>
      </c>
      <c r="B168" s="3" t="s">
        <v>34</v>
      </c>
      <c r="C168" s="3" t="s">
        <v>778</v>
      </c>
      <c r="D168" s="4" t="s">
        <v>822</v>
      </c>
      <c r="E168" s="3" t="s">
        <v>860</v>
      </c>
      <c r="F168" s="3" t="s">
        <v>861</v>
      </c>
      <c r="G168" s="4" t="s">
        <v>862</v>
      </c>
      <c r="H168" s="3" t="s">
        <v>39</v>
      </c>
      <c r="I168" s="5">
        <v>44.290289999999999</v>
      </c>
      <c r="J168" s="5">
        <v>6.5702100000000003</v>
      </c>
      <c r="K168" s="6">
        <v>1774</v>
      </c>
      <c r="L168" s="3" t="s">
        <v>863</v>
      </c>
      <c r="M168" s="7">
        <v>1495</v>
      </c>
      <c r="N168" s="7">
        <v>2592</v>
      </c>
      <c r="O168" s="7">
        <f t="shared" si="2"/>
        <v>1097</v>
      </c>
      <c r="P168" s="7">
        <v>2180</v>
      </c>
      <c r="Q168" s="8">
        <v>0.74299999999999999</v>
      </c>
      <c r="R168" s="9">
        <v>216.9</v>
      </c>
      <c r="S168" s="6">
        <v>444</v>
      </c>
      <c r="T168" s="6">
        <v>38</v>
      </c>
      <c r="U168" s="6">
        <v>47</v>
      </c>
      <c r="V168" s="6">
        <v>89</v>
      </c>
      <c r="W168" s="6">
        <v>112</v>
      </c>
      <c r="X168" s="6">
        <v>33</v>
      </c>
      <c r="Y168" s="6">
        <v>163</v>
      </c>
      <c r="Z168" s="10">
        <v>0.15</v>
      </c>
      <c r="AA168" s="11" t="s">
        <v>864</v>
      </c>
      <c r="AB168" s="3" t="s">
        <v>103</v>
      </c>
      <c r="AC168" s="3"/>
      <c r="AD168" s="3" t="s">
        <v>865</v>
      </c>
      <c r="AE168" s="3"/>
    </row>
    <row r="169" spans="1:31" x14ac:dyDescent="0.25">
      <c r="A169" s="2" t="s">
        <v>866</v>
      </c>
      <c r="B169" s="3" t="s">
        <v>34</v>
      </c>
      <c r="C169" s="3" t="s">
        <v>778</v>
      </c>
      <c r="D169" s="4" t="s">
        <v>779</v>
      </c>
      <c r="E169" s="3" t="s">
        <v>867</v>
      </c>
      <c r="F169" s="3" t="s">
        <v>866</v>
      </c>
      <c r="G169" s="4" t="s">
        <v>868</v>
      </c>
      <c r="H169" s="3" t="s">
        <v>39</v>
      </c>
      <c r="I169" s="5">
        <v>45.052930000000003</v>
      </c>
      <c r="J169" s="5">
        <v>6.2874299999999996</v>
      </c>
      <c r="K169" s="6">
        <v>1800</v>
      </c>
      <c r="L169" s="3" t="s">
        <v>869</v>
      </c>
      <c r="M169" s="7">
        <v>1728</v>
      </c>
      <c r="N169" s="7">
        <v>2159</v>
      </c>
      <c r="O169" s="7">
        <f t="shared" si="2"/>
        <v>431</v>
      </c>
      <c r="P169" s="7">
        <v>1929</v>
      </c>
      <c r="Q169" s="8">
        <v>0.35699999999999998</v>
      </c>
      <c r="R169" s="9">
        <v>9.4</v>
      </c>
      <c r="S169" s="6">
        <v>27</v>
      </c>
      <c r="T169" s="6">
        <v>7</v>
      </c>
      <c r="U169" s="6">
        <v>11</v>
      </c>
      <c r="V169" s="6">
        <v>8</v>
      </c>
      <c r="W169" s="6">
        <v>6</v>
      </c>
      <c r="X169" s="6">
        <v>2</v>
      </c>
      <c r="Y169" s="6"/>
      <c r="Z169" s="10">
        <v>0.67</v>
      </c>
      <c r="AA169" s="3"/>
      <c r="AB169" s="3"/>
      <c r="AC169" s="3"/>
      <c r="AD169" s="3" t="s">
        <v>870</v>
      </c>
      <c r="AE169" s="11" t="s">
        <v>871</v>
      </c>
    </row>
    <row r="170" spans="1:31" x14ac:dyDescent="0.25">
      <c r="A170" s="2" t="s">
        <v>872</v>
      </c>
      <c r="B170" s="3" t="s">
        <v>34</v>
      </c>
      <c r="C170" s="3" t="s">
        <v>778</v>
      </c>
      <c r="D170" s="4" t="s">
        <v>779</v>
      </c>
      <c r="E170" s="3" t="s">
        <v>873</v>
      </c>
      <c r="F170" s="3" t="s">
        <v>874</v>
      </c>
      <c r="G170" s="4" t="s">
        <v>875</v>
      </c>
      <c r="H170" s="3" t="s">
        <v>39</v>
      </c>
      <c r="I170" s="5">
        <v>44.689990000000002</v>
      </c>
      <c r="J170" s="5">
        <v>5.8936200000000003</v>
      </c>
      <c r="K170" s="6">
        <v>1447</v>
      </c>
      <c r="L170" s="3" t="s">
        <v>874</v>
      </c>
      <c r="M170" s="7">
        <v>1457</v>
      </c>
      <c r="N170" s="7">
        <v>2496</v>
      </c>
      <c r="O170" s="7">
        <f t="shared" si="2"/>
        <v>1039</v>
      </c>
      <c r="P170" s="7">
        <v>1878</v>
      </c>
      <c r="Q170" s="8">
        <v>0.30599999999999999</v>
      </c>
      <c r="R170" s="9">
        <v>72.099999999999994</v>
      </c>
      <c r="S170" s="6">
        <v>108</v>
      </c>
      <c r="T170" s="6">
        <v>23</v>
      </c>
      <c r="U170" s="6">
        <v>11</v>
      </c>
      <c r="V170" s="6">
        <v>60</v>
      </c>
      <c r="W170" s="6">
        <v>23</v>
      </c>
      <c r="X170" s="6">
        <v>7</v>
      </c>
      <c r="Y170" s="6">
        <v>7</v>
      </c>
      <c r="Z170" s="10">
        <v>0.14000000000000001</v>
      </c>
      <c r="AA170" s="11" t="s">
        <v>876</v>
      </c>
      <c r="AB170" s="3" t="s">
        <v>85</v>
      </c>
      <c r="AC170" s="3"/>
      <c r="AD170" s="3" t="s">
        <v>877</v>
      </c>
      <c r="AE170" s="3"/>
    </row>
    <row r="171" spans="1:31" x14ac:dyDescent="0.25">
      <c r="A171" s="2" t="s">
        <v>878</v>
      </c>
      <c r="B171" s="3" t="s">
        <v>34</v>
      </c>
      <c r="C171" s="3" t="s">
        <v>778</v>
      </c>
      <c r="D171" s="4" t="s">
        <v>779</v>
      </c>
      <c r="E171" s="3" t="s">
        <v>879</v>
      </c>
      <c r="F171" s="3" t="s">
        <v>880</v>
      </c>
      <c r="G171" s="4" t="s">
        <v>881</v>
      </c>
      <c r="H171" s="3" t="s">
        <v>39</v>
      </c>
      <c r="I171" s="5">
        <v>44.688160000000003</v>
      </c>
      <c r="J171" s="5">
        <v>6.0910900000000003</v>
      </c>
      <c r="K171" s="6">
        <v>1130</v>
      </c>
      <c r="L171" s="3" t="s">
        <v>882</v>
      </c>
      <c r="M171" s="7">
        <v>1456</v>
      </c>
      <c r="N171" s="7">
        <v>1932</v>
      </c>
      <c r="O171" s="7">
        <f t="shared" si="2"/>
        <v>476</v>
      </c>
      <c r="P171" s="7">
        <v>1674</v>
      </c>
      <c r="Q171" s="8">
        <v>0</v>
      </c>
      <c r="R171" s="9">
        <v>11</v>
      </c>
      <c r="S171" s="6">
        <v>23</v>
      </c>
      <c r="T171" s="6">
        <v>9</v>
      </c>
      <c r="U171" s="6">
        <v>7</v>
      </c>
      <c r="V171" s="6">
        <v>10</v>
      </c>
      <c r="W171" s="6">
        <v>5</v>
      </c>
      <c r="X171" s="6"/>
      <c r="Y171" s="6">
        <v>1</v>
      </c>
      <c r="Z171" s="10">
        <v>4.74</v>
      </c>
      <c r="AA171" s="3"/>
      <c r="AB171" s="3"/>
      <c r="AC171" s="3"/>
      <c r="AD171" s="3" t="s">
        <v>883</v>
      </c>
      <c r="AE171" s="11" t="s">
        <v>884</v>
      </c>
    </row>
    <row r="172" spans="1:31" x14ac:dyDescent="0.25">
      <c r="A172" s="2" t="s">
        <v>885</v>
      </c>
      <c r="B172" s="3" t="s">
        <v>34</v>
      </c>
      <c r="C172" s="3" t="s">
        <v>778</v>
      </c>
      <c r="D172" s="4" t="s">
        <v>779</v>
      </c>
      <c r="E172" s="3" t="s">
        <v>873</v>
      </c>
      <c r="F172" s="3" t="s">
        <v>874</v>
      </c>
      <c r="G172" s="4" t="s">
        <v>875</v>
      </c>
      <c r="H172" s="3" t="s">
        <v>39</v>
      </c>
      <c r="I172" s="5">
        <v>44.689500000000002</v>
      </c>
      <c r="J172" s="5">
        <v>5.9151999999999996</v>
      </c>
      <c r="K172" s="6">
        <v>1639</v>
      </c>
      <c r="L172" s="3" t="s">
        <v>874</v>
      </c>
      <c r="M172" s="7">
        <v>1457</v>
      </c>
      <c r="N172" s="7">
        <v>2496</v>
      </c>
      <c r="O172" s="7">
        <f t="shared" si="2"/>
        <v>1039</v>
      </c>
      <c r="P172" s="7">
        <v>1878</v>
      </c>
      <c r="Q172" s="8">
        <v>0.30599999999999999</v>
      </c>
      <c r="R172" s="9">
        <v>72.099999999999994</v>
      </c>
      <c r="S172" s="6">
        <v>108</v>
      </c>
      <c r="T172" s="6">
        <v>23</v>
      </c>
      <c r="U172" s="6">
        <v>11</v>
      </c>
      <c r="V172" s="6">
        <v>60</v>
      </c>
      <c r="W172" s="6">
        <v>23</v>
      </c>
      <c r="X172" s="6">
        <v>7</v>
      </c>
      <c r="Y172" s="6">
        <v>7</v>
      </c>
      <c r="Z172" s="10">
        <v>1.43</v>
      </c>
      <c r="AA172" s="11" t="s">
        <v>876</v>
      </c>
      <c r="AB172" s="3" t="s">
        <v>85</v>
      </c>
      <c r="AC172" s="11" t="s">
        <v>886</v>
      </c>
      <c r="AD172" s="3" t="s">
        <v>877</v>
      </c>
      <c r="AE172" s="11" t="s">
        <v>887</v>
      </c>
    </row>
    <row r="173" spans="1:31" x14ac:dyDescent="0.25">
      <c r="A173" s="2" t="s">
        <v>892</v>
      </c>
      <c r="B173" s="3" t="s">
        <v>34</v>
      </c>
      <c r="C173" s="3" t="s">
        <v>778</v>
      </c>
      <c r="D173" s="4" t="s">
        <v>779</v>
      </c>
      <c r="E173" s="3" t="s">
        <v>793</v>
      </c>
      <c r="F173" s="3" t="s">
        <v>893</v>
      </c>
      <c r="G173" s="4" t="s">
        <v>894</v>
      </c>
      <c r="H173" s="3" t="s">
        <v>39</v>
      </c>
      <c r="I173" s="5">
        <v>44.757350000000002</v>
      </c>
      <c r="J173" s="5">
        <v>6.7979900000000004</v>
      </c>
      <c r="K173" s="6">
        <v>1348</v>
      </c>
      <c r="L173" s="3" t="s">
        <v>795</v>
      </c>
      <c r="M173" s="7">
        <v>1692</v>
      </c>
      <c r="N173" s="7">
        <v>2106</v>
      </c>
      <c r="O173" s="7">
        <f t="shared" si="2"/>
        <v>414</v>
      </c>
      <c r="P173" s="7">
        <v>1916</v>
      </c>
      <c r="Q173" s="8">
        <v>0.26900000000000002</v>
      </c>
      <c r="R173" s="9">
        <v>14.3</v>
      </c>
      <c r="S173" s="6">
        <v>29</v>
      </c>
      <c r="T173" s="6">
        <v>6</v>
      </c>
      <c r="U173" s="6">
        <v>13</v>
      </c>
      <c r="V173" s="6">
        <v>5</v>
      </c>
      <c r="W173" s="6">
        <v>10</v>
      </c>
      <c r="X173" s="6">
        <v>1</v>
      </c>
      <c r="Y173" s="6"/>
      <c r="Z173" s="10">
        <v>3.64</v>
      </c>
      <c r="AA173" s="3"/>
      <c r="AB173" s="3"/>
      <c r="AC173" s="3"/>
      <c r="AD173" s="3" t="s">
        <v>796</v>
      </c>
      <c r="AE173" s="11" t="s">
        <v>895</v>
      </c>
    </row>
    <row r="174" spans="1:31" x14ac:dyDescent="0.25">
      <c r="A174" s="2" t="s">
        <v>896</v>
      </c>
      <c r="B174" s="3" t="s">
        <v>34</v>
      </c>
      <c r="C174" s="3" t="s">
        <v>778</v>
      </c>
      <c r="D174" s="4" t="s">
        <v>822</v>
      </c>
      <c r="E174" s="3" t="s">
        <v>860</v>
      </c>
      <c r="F174" s="3" t="s">
        <v>861</v>
      </c>
      <c r="G174" s="4" t="s">
        <v>862</v>
      </c>
      <c r="H174" s="3" t="s">
        <v>39</v>
      </c>
      <c r="I174" s="5">
        <v>44.241849999999999</v>
      </c>
      <c r="J174" s="5">
        <v>6.6166</v>
      </c>
      <c r="K174" s="6">
        <v>1507</v>
      </c>
      <c r="L174" s="3" t="s">
        <v>897</v>
      </c>
      <c r="M174" s="7">
        <v>1511</v>
      </c>
      <c r="N174" s="7">
        <v>2415</v>
      </c>
      <c r="O174" s="7">
        <f t="shared" si="2"/>
        <v>904</v>
      </c>
      <c r="P174" s="7">
        <v>1959</v>
      </c>
      <c r="Q174" s="8">
        <v>0.46100000000000002</v>
      </c>
      <c r="R174" s="9">
        <v>26</v>
      </c>
      <c r="S174" s="6">
        <v>34</v>
      </c>
      <c r="T174" s="6">
        <v>6</v>
      </c>
      <c r="U174" s="6">
        <v>2</v>
      </c>
      <c r="V174" s="6">
        <v>14</v>
      </c>
      <c r="W174" s="6">
        <v>10</v>
      </c>
      <c r="X174" s="6">
        <v>6</v>
      </c>
      <c r="Y174" s="6">
        <v>2</v>
      </c>
      <c r="Z174" s="10">
        <v>0.11</v>
      </c>
      <c r="AA174" s="11" t="s">
        <v>864</v>
      </c>
      <c r="AB174" s="3" t="s">
        <v>103</v>
      </c>
      <c r="AC174" s="3"/>
      <c r="AD174" s="3" t="s">
        <v>898</v>
      </c>
      <c r="AE174" s="3"/>
    </row>
    <row r="175" spans="1:31" x14ac:dyDescent="0.25">
      <c r="A175" s="2" t="s">
        <v>899</v>
      </c>
      <c r="B175" s="3" t="s">
        <v>158</v>
      </c>
      <c r="C175" s="3" t="s">
        <v>778</v>
      </c>
      <c r="D175" s="4" t="s">
        <v>779</v>
      </c>
      <c r="E175" s="3" t="s">
        <v>900</v>
      </c>
      <c r="F175" s="3" t="s">
        <v>901</v>
      </c>
      <c r="G175" s="4" t="s">
        <v>902</v>
      </c>
      <c r="H175" s="3" t="s">
        <v>39</v>
      </c>
      <c r="I175" s="5">
        <v>44.572609999999997</v>
      </c>
      <c r="J175" s="5">
        <v>6.6816399999999998</v>
      </c>
      <c r="K175" s="6">
        <v>1848</v>
      </c>
      <c r="L175" s="3" t="s">
        <v>903</v>
      </c>
      <c r="M175" s="7">
        <v>1632</v>
      </c>
      <c r="N175" s="7">
        <v>2728</v>
      </c>
      <c r="O175" s="7">
        <f t="shared" si="2"/>
        <v>1096</v>
      </c>
      <c r="P175" s="7">
        <v>2204</v>
      </c>
      <c r="Q175" s="8">
        <v>0.80700000000000005</v>
      </c>
      <c r="R175" s="9">
        <v>134</v>
      </c>
      <c r="S175" s="6">
        <v>194</v>
      </c>
      <c r="T175" s="6">
        <v>38</v>
      </c>
      <c r="U175" s="6">
        <v>43</v>
      </c>
      <c r="V175" s="6">
        <v>89</v>
      </c>
      <c r="W175" s="6">
        <v>43</v>
      </c>
      <c r="X175" s="6">
        <v>13</v>
      </c>
      <c r="Y175" s="6">
        <v>6</v>
      </c>
      <c r="Z175" s="10">
        <v>0.19</v>
      </c>
      <c r="AA175" s="11" t="s">
        <v>904</v>
      </c>
      <c r="AB175" s="3" t="s">
        <v>905</v>
      </c>
      <c r="AC175" s="3"/>
      <c r="AD175" s="3" t="s">
        <v>906</v>
      </c>
      <c r="AE175" s="3"/>
    </row>
    <row r="176" spans="1:31" x14ac:dyDescent="0.25">
      <c r="A176" s="2" t="s">
        <v>907</v>
      </c>
      <c r="B176" s="3" t="s">
        <v>34</v>
      </c>
      <c r="C176" s="3" t="s">
        <v>778</v>
      </c>
      <c r="D176" s="4" t="s">
        <v>779</v>
      </c>
      <c r="E176" s="3" t="s">
        <v>831</v>
      </c>
      <c r="F176" s="3" t="s">
        <v>907</v>
      </c>
      <c r="G176" s="4" t="s">
        <v>908</v>
      </c>
      <c r="H176" s="3" t="s">
        <v>39</v>
      </c>
      <c r="I176" s="5">
        <v>44.493110000000001</v>
      </c>
      <c r="J176" s="5">
        <v>6.5564099999999996</v>
      </c>
      <c r="K176" s="6">
        <v>1651</v>
      </c>
      <c r="L176" s="3" t="s">
        <v>907</v>
      </c>
      <c r="M176" s="7">
        <v>1552</v>
      </c>
      <c r="N176" s="7">
        <v>2702</v>
      </c>
      <c r="O176" s="7">
        <f t="shared" si="2"/>
        <v>1150</v>
      </c>
      <c r="P176" s="7">
        <v>2094</v>
      </c>
      <c r="Q176" s="8">
        <v>0.56399999999999995</v>
      </c>
      <c r="R176" s="9">
        <v>50.2</v>
      </c>
      <c r="S176" s="6">
        <v>78</v>
      </c>
      <c r="T176" s="6">
        <v>21</v>
      </c>
      <c r="U176" s="6">
        <v>31</v>
      </c>
      <c r="V176" s="6">
        <v>8</v>
      </c>
      <c r="W176" s="6">
        <v>33</v>
      </c>
      <c r="X176" s="6">
        <v>6</v>
      </c>
      <c r="Y176" s="6"/>
      <c r="Z176" s="10">
        <v>0.1</v>
      </c>
      <c r="AA176" s="11" t="s">
        <v>909</v>
      </c>
      <c r="AB176" s="3" t="s">
        <v>103</v>
      </c>
      <c r="AC176" s="11" t="s">
        <v>910</v>
      </c>
      <c r="AD176" s="3" t="s">
        <v>911</v>
      </c>
      <c r="AE176" s="11" t="s">
        <v>912</v>
      </c>
    </row>
    <row r="177" spans="1:31" x14ac:dyDescent="0.25">
      <c r="A177" s="2" t="s">
        <v>913</v>
      </c>
      <c r="B177" s="3" t="s">
        <v>158</v>
      </c>
      <c r="C177" s="3" t="s">
        <v>778</v>
      </c>
      <c r="D177" s="4" t="s">
        <v>779</v>
      </c>
      <c r="E177" s="3" t="s">
        <v>831</v>
      </c>
      <c r="F177" s="3" t="s">
        <v>907</v>
      </c>
      <c r="G177" s="4" t="s">
        <v>908</v>
      </c>
      <c r="H177" s="3" t="s">
        <v>39</v>
      </c>
      <c r="I177" s="5">
        <v>44.493009999999998</v>
      </c>
      <c r="J177" s="5">
        <v>6.5571000000000002</v>
      </c>
      <c r="K177" s="6">
        <v>1659</v>
      </c>
      <c r="L177" s="3" t="s">
        <v>907</v>
      </c>
      <c r="M177" s="7">
        <v>1552</v>
      </c>
      <c r="N177" s="7">
        <v>2702</v>
      </c>
      <c r="O177" s="7">
        <f t="shared" si="2"/>
        <v>1150</v>
      </c>
      <c r="P177" s="7">
        <v>2094</v>
      </c>
      <c r="Q177" s="8">
        <v>0.56399999999999995</v>
      </c>
      <c r="R177" s="9">
        <v>50.2</v>
      </c>
      <c r="S177" s="6">
        <v>78</v>
      </c>
      <c r="T177" s="6">
        <v>21</v>
      </c>
      <c r="U177" s="6">
        <v>31</v>
      </c>
      <c r="V177" s="6">
        <v>8</v>
      </c>
      <c r="W177" s="6">
        <v>33</v>
      </c>
      <c r="X177" s="6">
        <v>6</v>
      </c>
      <c r="Y177" s="6"/>
      <c r="Z177" s="10">
        <v>0.05</v>
      </c>
      <c r="AA177" s="11" t="s">
        <v>909</v>
      </c>
      <c r="AB177" s="3" t="s">
        <v>103</v>
      </c>
      <c r="AC177" s="3"/>
      <c r="AD177" s="3" t="s">
        <v>911</v>
      </c>
      <c r="AE177" s="3"/>
    </row>
    <row r="178" spans="1:31" x14ac:dyDescent="0.25">
      <c r="A178" s="2" t="s">
        <v>914</v>
      </c>
      <c r="B178" s="3" t="s">
        <v>158</v>
      </c>
      <c r="C178" s="3" t="s">
        <v>778</v>
      </c>
      <c r="D178" s="4" t="s">
        <v>779</v>
      </c>
      <c r="E178" s="3" t="s">
        <v>831</v>
      </c>
      <c r="F178" s="3" t="s">
        <v>907</v>
      </c>
      <c r="G178" s="4" t="s">
        <v>908</v>
      </c>
      <c r="H178" s="3" t="s">
        <v>39</v>
      </c>
      <c r="I178" s="5">
        <v>44.484630000000003</v>
      </c>
      <c r="J178" s="5">
        <v>6.5532199999999996</v>
      </c>
      <c r="K178" s="6">
        <v>1728</v>
      </c>
      <c r="L178" s="3" t="s">
        <v>907</v>
      </c>
      <c r="M178" s="7">
        <v>1552</v>
      </c>
      <c r="N178" s="7">
        <v>2702</v>
      </c>
      <c r="O178" s="7">
        <f t="shared" si="2"/>
        <v>1150</v>
      </c>
      <c r="P178" s="7">
        <v>2094</v>
      </c>
      <c r="Q178" s="8">
        <v>0.56399999999999995</v>
      </c>
      <c r="R178" s="9">
        <v>50.2</v>
      </c>
      <c r="S178" s="6">
        <v>78</v>
      </c>
      <c r="T178" s="6">
        <v>21</v>
      </c>
      <c r="U178" s="6">
        <v>31</v>
      </c>
      <c r="V178" s="6">
        <v>8</v>
      </c>
      <c r="W178" s="6">
        <v>33</v>
      </c>
      <c r="X178" s="6">
        <v>6</v>
      </c>
      <c r="Y178" s="6"/>
      <c r="Z178" s="10">
        <v>0.1</v>
      </c>
      <c r="AA178" s="11" t="s">
        <v>909</v>
      </c>
      <c r="AB178" s="3" t="s">
        <v>103</v>
      </c>
      <c r="AC178" s="3"/>
      <c r="AD178" s="3" t="s">
        <v>911</v>
      </c>
      <c r="AE178" s="3"/>
    </row>
    <row r="179" spans="1:31" x14ac:dyDescent="0.25">
      <c r="A179" s="2" t="s">
        <v>915</v>
      </c>
      <c r="B179" s="3" t="s">
        <v>34</v>
      </c>
      <c r="C179" s="3" t="s">
        <v>778</v>
      </c>
      <c r="D179" s="4" t="s">
        <v>779</v>
      </c>
      <c r="E179" s="3" t="s">
        <v>793</v>
      </c>
      <c r="F179" s="3" t="s">
        <v>916</v>
      </c>
      <c r="G179" s="4" t="s">
        <v>917</v>
      </c>
      <c r="H179" s="3" t="s">
        <v>39</v>
      </c>
      <c r="I179" s="5">
        <v>44.723765</v>
      </c>
      <c r="J179" s="5">
        <v>6.847442</v>
      </c>
      <c r="K179" s="6">
        <v>1739</v>
      </c>
      <c r="L179" s="3" t="s">
        <v>918</v>
      </c>
      <c r="M179" s="7">
        <v>1739</v>
      </c>
      <c r="N179" s="7">
        <v>2805</v>
      </c>
      <c r="O179" s="7">
        <f t="shared" si="2"/>
        <v>1066</v>
      </c>
      <c r="P179" s="7">
        <v>2161</v>
      </c>
      <c r="Q179" s="8">
        <v>0.755</v>
      </c>
      <c r="R179" s="9">
        <v>29.8</v>
      </c>
      <c r="S179" s="6">
        <v>44</v>
      </c>
      <c r="T179" s="6">
        <v>12</v>
      </c>
      <c r="U179" s="6">
        <v>14</v>
      </c>
      <c r="V179" s="6">
        <v>15</v>
      </c>
      <c r="W179" s="6">
        <v>12</v>
      </c>
      <c r="X179" s="6">
        <v>2</v>
      </c>
      <c r="Y179" s="6">
        <v>1</v>
      </c>
      <c r="Z179" s="10">
        <v>0.26</v>
      </c>
      <c r="AA179" s="3"/>
      <c r="AB179" s="3"/>
      <c r="AC179" s="3"/>
      <c r="AD179" s="3" t="s">
        <v>919</v>
      </c>
      <c r="AE179" s="11" t="s">
        <v>920</v>
      </c>
    </row>
    <row r="180" spans="1:31" x14ac:dyDescent="0.25">
      <c r="A180" s="2" t="s">
        <v>921</v>
      </c>
      <c r="B180" s="3" t="s">
        <v>34</v>
      </c>
      <c r="C180" s="3" t="s">
        <v>778</v>
      </c>
      <c r="D180" s="4" t="s">
        <v>922</v>
      </c>
      <c r="E180" s="3" t="s">
        <v>923</v>
      </c>
      <c r="F180" s="3" t="s">
        <v>924</v>
      </c>
      <c r="G180" s="4" t="s">
        <v>925</v>
      </c>
      <c r="H180" s="3" t="s">
        <v>39</v>
      </c>
      <c r="I180" s="5">
        <v>44.183734999999999</v>
      </c>
      <c r="J180" s="5">
        <v>5.2636099999999999</v>
      </c>
      <c r="K180" s="6">
        <v>1377</v>
      </c>
      <c r="L180" s="3" t="s">
        <v>926</v>
      </c>
      <c r="M180" s="7">
        <v>1388</v>
      </c>
      <c r="N180" s="7">
        <v>1812</v>
      </c>
      <c r="O180" s="7">
        <f t="shared" si="2"/>
        <v>424</v>
      </c>
      <c r="P180" s="7">
        <v>1510</v>
      </c>
      <c r="Q180" s="8">
        <v>0</v>
      </c>
      <c r="R180" s="9">
        <v>11.4</v>
      </c>
      <c r="S180" s="6">
        <v>31</v>
      </c>
      <c r="T180" s="6">
        <v>8</v>
      </c>
      <c r="U180" s="6">
        <v>8</v>
      </c>
      <c r="V180" s="6">
        <v>6</v>
      </c>
      <c r="W180" s="6">
        <v>14</v>
      </c>
      <c r="X180" s="6">
        <v>3</v>
      </c>
      <c r="Y180" s="6"/>
      <c r="Z180" s="10">
        <v>0.11</v>
      </c>
      <c r="AA180" s="11" t="s">
        <v>927</v>
      </c>
      <c r="AB180" s="3" t="s">
        <v>103</v>
      </c>
      <c r="AC180" s="3"/>
      <c r="AD180" s="3" t="s">
        <v>928</v>
      </c>
      <c r="AE180" s="11" t="s">
        <v>929</v>
      </c>
    </row>
    <row r="181" spans="1:31" x14ac:dyDescent="0.25">
      <c r="A181" s="2" t="s">
        <v>930</v>
      </c>
      <c r="B181" s="3" t="s">
        <v>34</v>
      </c>
      <c r="C181" s="3" t="s">
        <v>778</v>
      </c>
      <c r="D181" s="4" t="s">
        <v>822</v>
      </c>
      <c r="E181" s="3" t="s">
        <v>931</v>
      </c>
      <c r="F181" s="3" t="s">
        <v>932</v>
      </c>
      <c r="G181" s="4" t="s">
        <v>933</v>
      </c>
      <c r="H181" s="3" t="s">
        <v>934</v>
      </c>
      <c r="I181" s="5">
        <v>44.055070000000001</v>
      </c>
      <c r="J181" s="5">
        <v>5.7829600000000001</v>
      </c>
      <c r="K181" s="6">
        <v>783</v>
      </c>
      <c r="L181" s="3" t="s">
        <v>930</v>
      </c>
      <c r="M181" s="7">
        <v>1529</v>
      </c>
      <c r="N181" s="7">
        <v>1700</v>
      </c>
      <c r="O181" s="7">
        <f t="shared" si="2"/>
        <v>171</v>
      </c>
      <c r="P181" s="7">
        <v>1566</v>
      </c>
      <c r="Q181" s="8">
        <v>0</v>
      </c>
      <c r="R181" s="9">
        <v>1.5</v>
      </c>
      <c r="S181" s="6">
        <v>3</v>
      </c>
      <c r="T181" s="6">
        <v>3</v>
      </c>
      <c r="U181" s="6">
        <v>2</v>
      </c>
      <c r="V181" s="6"/>
      <c r="W181" s="6"/>
      <c r="X181" s="6"/>
      <c r="Y181" s="6">
        <v>1</v>
      </c>
      <c r="Z181" s="10">
        <v>6.43</v>
      </c>
      <c r="AA181" s="3"/>
      <c r="AB181" s="3"/>
      <c r="AC181" s="3"/>
      <c r="AD181" s="3" t="s">
        <v>935</v>
      </c>
      <c r="AE181" s="11" t="s">
        <v>936</v>
      </c>
    </row>
    <row r="182" spans="1:31" x14ac:dyDescent="0.25">
      <c r="A182" s="2" t="s">
        <v>937</v>
      </c>
      <c r="B182" s="3" t="s">
        <v>34</v>
      </c>
      <c r="C182" s="3" t="s">
        <v>778</v>
      </c>
      <c r="D182" s="4" t="s">
        <v>822</v>
      </c>
      <c r="E182" s="3" t="s">
        <v>823</v>
      </c>
      <c r="F182" s="3" t="s">
        <v>937</v>
      </c>
      <c r="G182" s="4" t="s">
        <v>938</v>
      </c>
      <c r="H182" s="3" t="s">
        <v>39</v>
      </c>
      <c r="I182" s="5">
        <v>44.412119500000003</v>
      </c>
      <c r="J182" s="5">
        <v>6.3512079799999999</v>
      </c>
      <c r="K182" s="6">
        <v>1331</v>
      </c>
      <c r="L182" s="3" t="s">
        <v>937</v>
      </c>
      <c r="M182" s="7">
        <v>1333</v>
      </c>
      <c r="N182" s="7">
        <v>2464</v>
      </c>
      <c r="O182" s="7">
        <f t="shared" si="2"/>
        <v>1131</v>
      </c>
      <c r="P182" s="7">
        <v>1909</v>
      </c>
      <c r="Q182" s="8">
        <v>0.36899999999999999</v>
      </c>
      <c r="R182" s="9">
        <v>23.9</v>
      </c>
      <c r="S182" s="6">
        <v>42</v>
      </c>
      <c r="T182" s="6">
        <v>8</v>
      </c>
      <c r="U182" s="6">
        <v>6</v>
      </c>
      <c r="V182" s="6">
        <v>21</v>
      </c>
      <c r="W182" s="6">
        <v>11</v>
      </c>
      <c r="X182" s="6">
        <v>4</v>
      </c>
      <c r="Y182" s="6"/>
      <c r="Z182" s="10">
        <v>0.13</v>
      </c>
      <c r="AA182" s="11" t="s">
        <v>939</v>
      </c>
      <c r="AB182" s="3"/>
      <c r="AC182" s="11" t="s">
        <v>940</v>
      </c>
      <c r="AD182" s="3" t="s">
        <v>941</v>
      </c>
      <c r="AE182" s="11" t="s">
        <v>942</v>
      </c>
    </row>
    <row r="183" spans="1:31" x14ac:dyDescent="0.25">
      <c r="A183" s="2" t="s">
        <v>943</v>
      </c>
      <c r="B183" s="3" t="s">
        <v>34</v>
      </c>
      <c r="C183" s="3" t="s">
        <v>778</v>
      </c>
      <c r="D183" s="4" t="s">
        <v>779</v>
      </c>
      <c r="E183" s="3" t="s">
        <v>944</v>
      </c>
      <c r="F183" s="3" t="s">
        <v>945</v>
      </c>
      <c r="G183" s="4" t="s">
        <v>946</v>
      </c>
      <c r="H183" s="3" t="s">
        <v>39</v>
      </c>
      <c r="I183" s="5">
        <v>44.932511400000003</v>
      </c>
      <c r="J183" s="5">
        <v>6.72687817</v>
      </c>
      <c r="K183" s="6">
        <v>1849</v>
      </c>
      <c r="L183" s="3" t="s">
        <v>945</v>
      </c>
      <c r="M183" s="7">
        <v>1770</v>
      </c>
      <c r="N183" s="7">
        <v>2581</v>
      </c>
      <c r="O183" s="7">
        <f t="shared" si="2"/>
        <v>811</v>
      </c>
      <c r="P183" s="7">
        <v>2159</v>
      </c>
      <c r="Q183" s="8">
        <v>0.69499999999999995</v>
      </c>
      <c r="R183" s="9">
        <v>169.3</v>
      </c>
      <c r="S183" s="6">
        <v>268</v>
      </c>
      <c r="T183" s="6">
        <v>25</v>
      </c>
      <c r="U183" s="6">
        <v>64</v>
      </c>
      <c r="V183" s="6">
        <v>120</v>
      </c>
      <c r="W183" s="6">
        <v>65</v>
      </c>
      <c r="X183" s="6">
        <v>18</v>
      </c>
      <c r="Y183" s="6">
        <v>1</v>
      </c>
      <c r="Z183" s="10">
        <v>7.0000000000000007E-2</v>
      </c>
      <c r="AA183" s="11" t="s">
        <v>947</v>
      </c>
      <c r="AB183" s="3" t="s">
        <v>85</v>
      </c>
      <c r="AC183" s="11" t="s">
        <v>948</v>
      </c>
      <c r="AD183" s="3" t="s">
        <v>949</v>
      </c>
      <c r="AE183" s="11" t="s">
        <v>950</v>
      </c>
    </row>
    <row r="184" spans="1:31" x14ac:dyDescent="0.25">
      <c r="A184" s="2" t="s">
        <v>951</v>
      </c>
      <c r="B184" s="3" t="s">
        <v>34</v>
      </c>
      <c r="C184" s="3" t="s">
        <v>778</v>
      </c>
      <c r="D184" s="4" t="s">
        <v>779</v>
      </c>
      <c r="E184" s="3" t="s">
        <v>944</v>
      </c>
      <c r="F184" s="3" t="s">
        <v>951</v>
      </c>
      <c r="G184" s="4" t="s">
        <v>952</v>
      </c>
      <c r="H184" s="3" t="s">
        <v>39</v>
      </c>
      <c r="I184" s="5">
        <v>45.017867000000003</v>
      </c>
      <c r="J184" s="5">
        <v>6.6337640000000002</v>
      </c>
      <c r="K184" s="6">
        <v>1601</v>
      </c>
      <c r="L184" s="3" t="s">
        <v>638</v>
      </c>
      <c r="M184" s="7">
        <v>1612</v>
      </c>
      <c r="N184" s="7">
        <v>1657</v>
      </c>
      <c r="O184" s="7">
        <f t="shared" si="2"/>
        <v>45</v>
      </c>
      <c r="P184" s="7">
        <v>1625</v>
      </c>
      <c r="Q184" s="8">
        <v>0</v>
      </c>
      <c r="R184" s="9">
        <v>0.4</v>
      </c>
      <c r="S184" s="6">
        <v>1</v>
      </c>
      <c r="T184" s="6">
        <v>1</v>
      </c>
      <c r="U184" s="6">
        <v>1</v>
      </c>
      <c r="V184" s="6"/>
      <c r="W184" s="6"/>
      <c r="X184" s="6"/>
      <c r="Y184" s="6"/>
      <c r="Z184" s="10">
        <v>0.54</v>
      </c>
      <c r="AA184" s="3"/>
      <c r="AB184" s="3"/>
      <c r="AC184" s="3"/>
      <c r="AD184" s="3" t="s">
        <v>953</v>
      </c>
      <c r="AE184" s="11" t="s">
        <v>954</v>
      </c>
    </row>
    <row r="185" spans="1:31" x14ac:dyDescent="0.25">
      <c r="A185" s="2" t="s">
        <v>955</v>
      </c>
      <c r="B185" s="3" t="s">
        <v>34</v>
      </c>
      <c r="C185" s="3" t="s">
        <v>778</v>
      </c>
      <c r="D185" s="4" t="s">
        <v>779</v>
      </c>
      <c r="E185" s="3" t="s">
        <v>956</v>
      </c>
      <c r="F185" s="3" t="s">
        <v>957</v>
      </c>
      <c r="G185" s="4" t="s">
        <v>958</v>
      </c>
      <c r="H185" s="3" t="s">
        <v>39</v>
      </c>
      <c r="I185" s="5">
        <v>44.697304000000003</v>
      </c>
      <c r="J185" s="5">
        <v>6.3234560000000002</v>
      </c>
      <c r="K185" s="6">
        <v>1819</v>
      </c>
      <c r="L185" s="3" t="s">
        <v>959</v>
      </c>
      <c r="M185" s="7">
        <v>1826</v>
      </c>
      <c r="N185" s="7">
        <v>2732</v>
      </c>
      <c r="O185" s="7">
        <f t="shared" si="2"/>
        <v>906</v>
      </c>
      <c r="P185" s="7">
        <v>2313</v>
      </c>
      <c r="Q185" s="8">
        <v>0.90200000000000002</v>
      </c>
      <c r="R185" s="9">
        <v>49.5</v>
      </c>
      <c r="S185" s="6">
        <v>68</v>
      </c>
      <c r="T185" s="6">
        <v>26</v>
      </c>
      <c r="U185" s="6">
        <v>8</v>
      </c>
      <c r="V185" s="6">
        <v>27</v>
      </c>
      <c r="W185" s="6">
        <v>26</v>
      </c>
      <c r="X185" s="6">
        <v>7</v>
      </c>
      <c r="Y185" s="6"/>
      <c r="Z185" s="10">
        <v>0.08</v>
      </c>
      <c r="AA185" s="11" t="s">
        <v>960</v>
      </c>
      <c r="AB185" s="3" t="s">
        <v>103</v>
      </c>
      <c r="AC185" s="11" t="s">
        <v>961</v>
      </c>
      <c r="AD185" s="3" t="s">
        <v>962</v>
      </c>
      <c r="AE185" s="11" t="s">
        <v>963</v>
      </c>
    </row>
    <row r="186" spans="1:31" x14ac:dyDescent="0.25">
      <c r="A186" s="2" t="s">
        <v>964</v>
      </c>
      <c r="B186" s="3" t="s">
        <v>34</v>
      </c>
      <c r="C186" s="3" t="s">
        <v>778</v>
      </c>
      <c r="D186" s="4" t="s">
        <v>779</v>
      </c>
      <c r="E186" s="3" t="s">
        <v>965</v>
      </c>
      <c r="F186" s="3" t="s">
        <v>966</v>
      </c>
      <c r="G186" s="4" t="s">
        <v>967</v>
      </c>
      <c r="H186" s="3" t="s">
        <v>39</v>
      </c>
      <c r="I186" s="5">
        <v>44.861378000000002</v>
      </c>
      <c r="J186" s="5">
        <v>6.4907279999999998</v>
      </c>
      <c r="K186" s="6">
        <v>1238</v>
      </c>
      <c r="L186" s="3" t="s">
        <v>968</v>
      </c>
      <c r="M186" s="7">
        <v>1230</v>
      </c>
      <c r="N186" s="7">
        <v>2222</v>
      </c>
      <c r="O186" s="7">
        <f t="shared" si="2"/>
        <v>992</v>
      </c>
      <c r="P186" s="7">
        <v>1657</v>
      </c>
      <c r="Q186" s="8">
        <v>0.13700000000000001</v>
      </c>
      <c r="R186" s="9">
        <v>15.4</v>
      </c>
      <c r="S186" s="6">
        <v>35</v>
      </c>
      <c r="T186" s="6">
        <v>7</v>
      </c>
      <c r="U186" s="6">
        <v>8</v>
      </c>
      <c r="V186" s="6">
        <v>15</v>
      </c>
      <c r="W186" s="6">
        <v>8</v>
      </c>
      <c r="X186" s="6">
        <v>3</v>
      </c>
      <c r="Y186" s="6">
        <v>1</v>
      </c>
      <c r="Z186" s="10">
        <v>0.28999999999999998</v>
      </c>
      <c r="AA186" s="3"/>
      <c r="AB186" s="3"/>
      <c r="AC186" s="3"/>
      <c r="AD186" s="3" t="s">
        <v>969</v>
      </c>
      <c r="AE186" s="11" t="s">
        <v>970</v>
      </c>
    </row>
    <row r="187" spans="1:31" x14ac:dyDescent="0.25">
      <c r="A187" s="2" t="s">
        <v>971</v>
      </c>
      <c r="B187" s="3" t="s">
        <v>158</v>
      </c>
      <c r="C187" s="3" t="s">
        <v>778</v>
      </c>
      <c r="D187" s="4" t="s">
        <v>822</v>
      </c>
      <c r="E187" s="3" t="s">
        <v>972</v>
      </c>
      <c r="F187" s="3" t="s">
        <v>973</v>
      </c>
      <c r="G187" s="4" t="s">
        <v>974</v>
      </c>
      <c r="H187" s="3" t="s">
        <v>39</v>
      </c>
      <c r="I187" s="5">
        <v>44.360639999999997</v>
      </c>
      <c r="J187" s="5">
        <v>6.6143099999999997</v>
      </c>
      <c r="K187" s="6">
        <v>1493</v>
      </c>
      <c r="L187" s="3" t="s">
        <v>863</v>
      </c>
      <c r="M187" s="7">
        <v>1495</v>
      </c>
      <c r="N187" s="7">
        <v>2592</v>
      </c>
      <c r="O187" s="7">
        <f t="shared" si="2"/>
        <v>1097</v>
      </c>
      <c r="P187" s="7">
        <v>2180</v>
      </c>
      <c r="Q187" s="8">
        <v>0.74299999999999999</v>
      </c>
      <c r="R187" s="9">
        <v>216.9</v>
      </c>
      <c r="S187" s="6">
        <v>444</v>
      </c>
      <c r="T187" s="6">
        <v>38</v>
      </c>
      <c r="U187" s="6">
        <v>47</v>
      </c>
      <c r="V187" s="6">
        <v>89</v>
      </c>
      <c r="W187" s="6">
        <v>112</v>
      </c>
      <c r="X187" s="6">
        <v>33</v>
      </c>
      <c r="Y187" s="6">
        <v>163</v>
      </c>
      <c r="Z187" s="10">
        <v>0.12</v>
      </c>
      <c r="AA187" s="11" t="s">
        <v>864</v>
      </c>
      <c r="AB187" s="3" t="s">
        <v>103</v>
      </c>
      <c r="AC187" s="3"/>
      <c r="AD187" s="3" t="s">
        <v>865</v>
      </c>
      <c r="AE187" s="3"/>
    </row>
    <row r="188" spans="1:31" x14ac:dyDescent="0.25">
      <c r="A188" s="2" t="s">
        <v>975</v>
      </c>
      <c r="B188" s="3" t="s">
        <v>158</v>
      </c>
      <c r="C188" s="3" t="s">
        <v>778</v>
      </c>
      <c r="D188" s="4" t="s">
        <v>822</v>
      </c>
      <c r="E188" s="3" t="s">
        <v>972</v>
      </c>
      <c r="F188" s="3" t="s">
        <v>973</v>
      </c>
      <c r="G188" s="4" t="s">
        <v>974</v>
      </c>
      <c r="H188" s="3" t="s">
        <v>39</v>
      </c>
      <c r="I188" s="5">
        <v>44.370150000000002</v>
      </c>
      <c r="J188" s="5">
        <v>6.6025</v>
      </c>
      <c r="K188" s="6">
        <v>1629</v>
      </c>
      <c r="L188" s="3" t="s">
        <v>863</v>
      </c>
      <c r="M188" s="7">
        <v>1495</v>
      </c>
      <c r="N188" s="7">
        <v>2592</v>
      </c>
      <c r="O188" s="7">
        <f t="shared" si="2"/>
        <v>1097</v>
      </c>
      <c r="P188" s="7">
        <v>2180</v>
      </c>
      <c r="Q188" s="8">
        <v>0.74299999999999999</v>
      </c>
      <c r="R188" s="9">
        <v>216.9</v>
      </c>
      <c r="S188" s="6">
        <v>444</v>
      </c>
      <c r="T188" s="6">
        <v>38</v>
      </c>
      <c r="U188" s="6">
        <v>47</v>
      </c>
      <c r="V188" s="6">
        <v>89</v>
      </c>
      <c r="W188" s="6">
        <v>112</v>
      </c>
      <c r="X188" s="6">
        <v>33</v>
      </c>
      <c r="Y188" s="6">
        <v>163</v>
      </c>
      <c r="Z188" s="10">
        <v>0</v>
      </c>
      <c r="AA188" s="11" t="s">
        <v>864</v>
      </c>
      <c r="AB188" s="3" t="s">
        <v>103</v>
      </c>
      <c r="AC188" s="3"/>
      <c r="AD188" s="3" t="s">
        <v>865</v>
      </c>
      <c r="AE188" s="3"/>
    </row>
    <row r="189" spans="1:31" x14ac:dyDescent="0.25">
      <c r="A189" s="2" t="s">
        <v>976</v>
      </c>
      <c r="B189" s="3" t="s">
        <v>34</v>
      </c>
      <c r="C189" s="3" t="s">
        <v>778</v>
      </c>
      <c r="D189" s="4" t="s">
        <v>822</v>
      </c>
      <c r="E189" s="3" t="s">
        <v>972</v>
      </c>
      <c r="F189" s="3" t="s">
        <v>973</v>
      </c>
      <c r="G189" s="4" t="s">
        <v>974</v>
      </c>
      <c r="H189" s="3" t="s">
        <v>39</v>
      </c>
      <c r="I189" s="5">
        <v>44.322650000000003</v>
      </c>
      <c r="J189" s="5">
        <v>6.6608099999999997</v>
      </c>
      <c r="K189" s="6">
        <v>1521</v>
      </c>
      <c r="L189" s="3" t="s">
        <v>977</v>
      </c>
      <c r="M189" s="7">
        <v>1374</v>
      </c>
      <c r="N189" s="7">
        <v>2438</v>
      </c>
      <c r="O189" s="7">
        <f t="shared" ref="O190:O251" si="3">IF(OR(M190="",N190=""),"",N190-M190)</f>
        <v>1064</v>
      </c>
      <c r="P189" s="7">
        <v>1973</v>
      </c>
      <c r="Q189" s="8">
        <v>0.44800000000000001</v>
      </c>
      <c r="R189" s="9">
        <v>51.7</v>
      </c>
      <c r="S189" s="6">
        <v>120</v>
      </c>
      <c r="T189" s="6">
        <v>21</v>
      </c>
      <c r="U189" s="6">
        <v>24</v>
      </c>
      <c r="V189" s="6">
        <v>36</v>
      </c>
      <c r="W189" s="6">
        <v>36</v>
      </c>
      <c r="X189" s="6">
        <v>6</v>
      </c>
      <c r="Y189" s="6">
        <v>18</v>
      </c>
      <c r="Z189" s="10">
        <v>2.85</v>
      </c>
      <c r="AA189" s="3"/>
      <c r="AB189" s="3"/>
      <c r="AC189" s="3"/>
      <c r="AD189" s="3" t="s">
        <v>978</v>
      </c>
      <c r="AE189" s="11" t="s">
        <v>979</v>
      </c>
    </row>
    <row r="190" spans="1:31" x14ac:dyDescent="0.25">
      <c r="A190" s="2" t="s">
        <v>980</v>
      </c>
      <c r="B190" s="3" t="s">
        <v>34</v>
      </c>
      <c r="C190" s="3" t="s">
        <v>778</v>
      </c>
      <c r="D190" s="4" t="s">
        <v>779</v>
      </c>
      <c r="E190" s="3" t="s">
        <v>965</v>
      </c>
      <c r="F190" s="3" t="s">
        <v>966</v>
      </c>
      <c r="G190" s="4" t="s">
        <v>967</v>
      </c>
      <c r="H190" s="3" t="s">
        <v>39</v>
      </c>
      <c r="I190" s="5">
        <v>44.839100000000002</v>
      </c>
      <c r="J190" s="5">
        <v>6.484</v>
      </c>
      <c r="K190" s="6">
        <v>1232</v>
      </c>
      <c r="L190" s="3" t="s">
        <v>981</v>
      </c>
      <c r="M190" s="7">
        <v>1150</v>
      </c>
      <c r="N190" s="7">
        <v>2666</v>
      </c>
      <c r="O190" s="7">
        <f t="shared" si="3"/>
        <v>1516</v>
      </c>
      <c r="P190" s="7">
        <v>1937</v>
      </c>
      <c r="Q190" s="8">
        <v>0.44900000000000001</v>
      </c>
      <c r="R190" s="9">
        <v>41.1</v>
      </c>
      <c r="S190" s="6">
        <v>74</v>
      </c>
      <c r="T190" s="6">
        <v>12</v>
      </c>
      <c r="U190" s="6">
        <v>17</v>
      </c>
      <c r="V190" s="6">
        <v>39</v>
      </c>
      <c r="W190" s="6">
        <v>14</v>
      </c>
      <c r="X190" s="6">
        <v>3</v>
      </c>
      <c r="Y190" s="6">
        <v>1</v>
      </c>
      <c r="Z190" s="10">
        <v>0.53</v>
      </c>
      <c r="AA190" s="11" t="s">
        <v>982</v>
      </c>
      <c r="AB190" s="3"/>
      <c r="AC190" s="11" t="s">
        <v>983</v>
      </c>
      <c r="AD190" s="3" t="s">
        <v>984</v>
      </c>
      <c r="AE190" s="11" t="s">
        <v>985</v>
      </c>
    </row>
    <row r="191" spans="1:31" x14ac:dyDescent="0.25">
      <c r="A191" s="2" t="s">
        <v>986</v>
      </c>
      <c r="B191" s="3" t="s">
        <v>158</v>
      </c>
      <c r="C191" s="3" t="s">
        <v>778</v>
      </c>
      <c r="D191" s="4" t="s">
        <v>779</v>
      </c>
      <c r="E191" s="3" t="s">
        <v>987</v>
      </c>
      <c r="F191" s="3" t="s">
        <v>981</v>
      </c>
      <c r="G191" s="4" t="s">
        <v>988</v>
      </c>
      <c r="H191" s="3" t="s">
        <v>39</v>
      </c>
      <c r="I191" s="5">
        <v>44.81879</v>
      </c>
      <c r="J191" s="5">
        <v>6.4869899999999996</v>
      </c>
      <c r="K191" s="6">
        <v>1664</v>
      </c>
      <c r="L191" s="3" t="s">
        <v>981</v>
      </c>
      <c r="M191" s="7">
        <v>1150</v>
      </c>
      <c r="N191" s="7">
        <v>2666</v>
      </c>
      <c r="O191" s="7">
        <f t="shared" si="3"/>
        <v>1516</v>
      </c>
      <c r="P191" s="7">
        <v>1937</v>
      </c>
      <c r="Q191" s="8">
        <v>0.44900000000000001</v>
      </c>
      <c r="R191" s="9">
        <v>41.1</v>
      </c>
      <c r="S191" s="6">
        <v>74</v>
      </c>
      <c r="T191" s="6">
        <v>12</v>
      </c>
      <c r="U191" s="6">
        <v>17</v>
      </c>
      <c r="V191" s="6">
        <v>39</v>
      </c>
      <c r="W191" s="6">
        <v>14</v>
      </c>
      <c r="X191" s="6">
        <v>3</v>
      </c>
      <c r="Y191" s="6">
        <v>1</v>
      </c>
      <c r="Z191" s="10">
        <v>7.0000000000000007E-2</v>
      </c>
      <c r="AA191" s="11" t="s">
        <v>982</v>
      </c>
      <c r="AB191" s="3"/>
      <c r="AC191" s="3"/>
      <c r="AD191" s="3" t="s">
        <v>984</v>
      </c>
      <c r="AE191" s="3"/>
    </row>
    <row r="192" spans="1:31" x14ac:dyDescent="0.25">
      <c r="A192" s="2" t="s">
        <v>989</v>
      </c>
      <c r="B192" s="3" t="s">
        <v>158</v>
      </c>
      <c r="C192" s="3" t="s">
        <v>778</v>
      </c>
      <c r="D192" s="4" t="s">
        <v>779</v>
      </c>
      <c r="E192" s="3" t="s">
        <v>987</v>
      </c>
      <c r="F192" s="3" t="s">
        <v>981</v>
      </c>
      <c r="G192" s="4" t="s">
        <v>988</v>
      </c>
      <c r="H192" s="3" t="s">
        <v>39</v>
      </c>
      <c r="I192" s="5">
        <v>44.81776</v>
      </c>
      <c r="J192" s="5">
        <v>6.4816399999999996</v>
      </c>
      <c r="K192" s="6">
        <v>1751</v>
      </c>
      <c r="L192" s="3" t="s">
        <v>981</v>
      </c>
      <c r="M192" s="7">
        <v>1150</v>
      </c>
      <c r="N192" s="7">
        <v>2666</v>
      </c>
      <c r="O192" s="7">
        <f t="shared" si="3"/>
        <v>1516</v>
      </c>
      <c r="P192" s="7">
        <v>1937</v>
      </c>
      <c r="Q192" s="8">
        <v>0.44900000000000001</v>
      </c>
      <c r="R192" s="9">
        <v>41.1</v>
      </c>
      <c r="S192" s="6">
        <v>74</v>
      </c>
      <c r="T192" s="6">
        <v>12</v>
      </c>
      <c r="U192" s="6">
        <v>17</v>
      </c>
      <c r="V192" s="6">
        <v>39</v>
      </c>
      <c r="W192" s="6">
        <v>14</v>
      </c>
      <c r="X192" s="6">
        <v>3</v>
      </c>
      <c r="Y192" s="6">
        <v>1</v>
      </c>
      <c r="Z192" s="10">
        <v>0.2</v>
      </c>
      <c r="AA192" s="11" t="s">
        <v>982</v>
      </c>
      <c r="AB192" s="3"/>
      <c r="AC192" s="3"/>
      <c r="AD192" s="3" t="s">
        <v>984</v>
      </c>
      <c r="AE192" s="3"/>
    </row>
    <row r="193" spans="1:31" x14ac:dyDescent="0.25">
      <c r="A193" s="2" t="s">
        <v>990</v>
      </c>
      <c r="B193" s="3" t="s">
        <v>34</v>
      </c>
      <c r="C193" s="3" t="s">
        <v>778</v>
      </c>
      <c r="D193" s="4" t="s">
        <v>779</v>
      </c>
      <c r="E193" s="3" t="s">
        <v>815</v>
      </c>
      <c r="F193" s="3" t="s">
        <v>990</v>
      </c>
      <c r="G193" s="4" t="s">
        <v>991</v>
      </c>
      <c r="H193" s="3" t="s">
        <v>39</v>
      </c>
      <c r="I193" s="5">
        <v>44.620484699999999</v>
      </c>
      <c r="J193" s="5">
        <v>6.6334975500000004</v>
      </c>
      <c r="K193" s="6">
        <v>1880</v>
      </c>
      <c r="L193" s="3" t="s">
        <v>903</v>
      </c>
      <c r="M193" s="7">
        <v>1632</v>
      </c>
      <c r="N193" s="7">
        <v>2728</v>
      </c>
      <c r="O193" s="7">
        <f t="shared" si="3"/>
        <v>1096</v>
      </c>
      <c r="P193" s="7">
        <v>2204</v>
      </c>
      <c r="Q193" s="8">
        <v>0.80700000000000005</v>
      </c>
      <c r="R193" s="9">
        <v>134</v>
      </c>
      <c r="S193" s="6">
        <v>194</v>
      </c>
      <c r="T193" s="6">
        <v>38</v>
      </c>
      <c r="U193" s="6">
        <v>43</v>
      </c>
      <c r="V193" s="6">
        <v>89</v>
      </c>
      <c r="W193" s="6">
        <v>43</v>
      </c>
      <c r="X193" s="6">
        <v>13</v>
      </c>
      <c r="Y193" s="6">
        <v>6</v>
      </c>
      <c r="Z193" s="10">
        <v>0.01</v>
      </c>
      <c r="AA193" s="11" t="s">
        <v>992</v>
      </c>
      <c r="AB193" s="3" t="s">
        <v>103</v>
      </c>
      <c r="AC193" s="11" t="s">
        <v>993</v>
      </c>
      <c r="AD193" s="3" t="s">
        <v>906</v>
      </c>
      <c r="AE193" s="11" t="s">
        <v>994</v>
      </c>
    </row>
    <row r="194" spans="1:31" x14ac:dyDescent="0.25">
      <c r="A194" s="2" t="s">
        <v>995</v>
      </c>
      <c r="B194" s="3" t="s">
        <v>34</v>
      </c>
      <c r="C194" s="3" t="s">
        <v>778</v>
      </c>
      <c r="D194" s="4" t="s">
        <v>799</v>
      </c>
      <c r="E194" s="3" t="s">
        <v>844</v>
      </c>
      <c r="F194" s="3" t="s">
        <v>996</v>
      </c>
      <c r="G194" s="4" t="s">
        <v>997</v>
      </c>
      <c r="H194" s="3" t="s">
        <v>39</v>
      </c>
      <c r="I194" s="5">
        <v>44.100344</v>
      </c>
      <c r="J194" s="5">
        <v>7.0375829999999997</v>
      </c>
      <c r="K194" s="6">
        <v>1608</v>
      </c>
      <c r="L194" s="3" t="s">
        <v>998</v>
      </c>
      <c r="M194" s="7">
        <v>1421</v>
      </c>
      <c r="N194" s="7">
        <v>1909</v>
      </c>
      <c r="O194" s="7">
        <f t="shared" si="3"/>
        <v>488</v>
      </c>
      <c r="P194" s="7">
        <v>1675</v>
      </c>
      <c r="Q194" s="8">
        <v>0</v>
      </c>
      <c r="R194" s="9">
        <v>15.5</v>
      </c>
      <c r="S194" s="6">
        <v>22</v>
      </c>
      <c r="T194" s="6">
        <v>6</v>
      </c>
      <c r="U194" s="6">
        <v>1</v>
      </c>
      <c r="V194" s="6">
        <v>4</v>
      </c>
      <c r="W194" s="6">
        <v>15</v>
      </c>
      <c r="X194" s="6">
        <v>2</v>
      </c>
      <c r="Y194" s="6"/>
      <c r="Z194" s="10">
        <v>2.0099999999999998</v>
      </c>
      <c r="AA194" s="3"/>
      <c r="AB194" s="3"/>
      <c r="AC194" s="3"/>
      <c r="AD194" s="3" t="s">
        <v>999</v>
      </c>
      <c r="AE194" s="11" t="s">
        <v>1000</v>
      </c>
    </row>
    <row r="195" spans="1:31" x14ac:dyDescent="0.25">
      <c r="A195" s="2" t="s">
        <v>1001</v>
      </c>
      <c r="B195" s="3" t="s">
        <v>34</v>
      </c>
      <c r="C195" s="3" t="s">
        <v>778</v>
      </c>
      <c r="D195" s="4" t="s">
        <v>779</v>
      </c>
      <c r="E195" s="3" t="s">
        <v>1002</v>
      </c>
      <c r="F195" s="3" t="s">
        <v>1001</v>
      </c>
      <c r="G195" s="4" t="s">
        <v>1003</v>
      </c>
      <c r="H195" s="3" t="s">
        <v>39</v>
      </c>
      <c r="I195" s="5">
        <v>44.596519000000001</v>
      </c>
      <c r="J195" s="5">
        <v>6.3582260000000002</v>
      </c>
      <c r="K195" s="6">
        <v>1422</v>
      </c>
      <c r="L195" s="3" t="s">
        <v>1001</v>
      </c>
      <c r="M195" s="7">
        <v>1552</v>
      </c>
      <c r="N195" s="7">
        <v>2112</v>
      </c>
      <c r="O195" s="7">
        <f t="shared" si="3"/>
        <v>560</v>
      </c>
      <c r="P195" s="7">
        <v>1768</v>
      </c>
      <c r="Q195" s="8">
        <v>0.11700000000000001</v>
      </c>
      <c r="R195" s="9">
        <v>12.4</v>
      </c>
      <c r="S195" s="6">
        <v>16</v>
      </c>
      <c r="T195" s="6">
        <v>6</v>
      </c>
      <c r="U195" s="6">
        <v>4</v>
      </c>
      <c r="V195" s="6">
        <v>6</v>
      </c>
      <c r="W195" s="6">
        <v>5</v>
      </c>
      <c r="X195" s="6">
        <v>1</v>
      </c>
      <c r="Y195" s="6"/>
      <c r="Z195" s="10">
        <v>1.23</v>
      </c>
      <c r="AA195" s="3"/>
      <c r="AB195" s="3"/>
      <c r="AC195" s="3"/>
      <c r="AD195" s="3" t="s">
        <v>1004</v>
      </c>
      <c r="AE195" s="11" t="s">
        <v>1005</v>
      </c>
    </row>
    <row r="196" spans="1:31" x14ac:dyDescent="0.25">
      <c r="A196" s="2" t="s">
        <v>1006</v>
      </c>
      <c r="B196" s="3" t="s">
        <v>34</v>
      </c>
      <c r="C196" s="3" t="s">
        <v>778</v>
      </c>
      <c r="D196" s="4" t="s">
        <v>779</v>
      </c>
      <c r="E196" s="3" t="s">
        <v>787</v>
      </c>
      <c r="F196" s="3" t="s">
        <v>1007</v>
      </c>
      <c r="G196" s="4" t="s">
        <v>1008</v>
      </c>
      <c r="H196" s="3" t="s">
        <v>39</v>
      </c>
      <c r="I196" s="5">
        <v>44.679940000000002</v>
      </c>
      <c r="J196" s="5">
        <v>6.1645820000000002</v>
      </c>
      <c r="K196" s="6">
        <v>1405</v>
      </c>
      <c r="L196" s="3" t="s">
        <v>882</v>
      </c>
      <c r="M196" s="7">
        <v>1456</v>
      </c>
      <c r="N196" s="7">
        <v>1932</v>
      </c>
      <c r="O196" s="7">
        <f t="shared" si="3"/>
        <v>476</v>
      </c>
      <c r="P196" s="7">
        <v>1674</v>
      </c>
      <c r="Q196" s="8">
        <v>0</v>
      </c>
      <c r="R196" s="9">
        <v>11</v>
      </c>
      <c r="S196" s="6">
        <v>23</v>
      </c>
      <c r="T196" s="6">
        <v>9</v>
      </c>
      <c r="U196" s="6">
        <v>7</v>
      </c>
      <c r="V196" s="6">
        <v>10</v>
      </c>
      <c r="W196" s="6">
        <v>5</v>
      </c>
      <c r="X196" s="6"/>
      <c r="Y196" s="6">
        <v>1</v>
      </c>
      <c r="Z196" s="10">
        <v>0.34</v>
      </c>
      <c r="AA196" s="3"/>
      <c r="AB196" s="3"/>
      <c r="AC196" s="3"/>
      <c r="AD196" s="3" t="s">
        <v>883</v>
      </c>
      <c r="AE196" s="11" t="s">
        <v>1009</v>
      </c>
    </row>
    <row r="197" spans="1:31" x14ac:dyDescent="0.25">
      <c r="A197" s="2" t="s">
        <v>1010</v>
      </c>
      <c r="B197" s="3" t="s">
        <v>34</v>
      </c>
      <c r="C197" s="3" t="s">
        <v>778</v>
      </c>
      <c r="D197" s="4" t="s">
        <v>779</v>
      </c>
      <c r="E197" s="3" t="s">
        <v>787</v>
      </c>
      <c r="F197" s="3" t="s">
        <v>1011</v>
      </c>
      <c r="G197" s="4" t="s">
        <v>1012</v>
      </c>
      <c r="H197" s="3" t="s">
        <v>39</v>
      </c>
      <c r="I197" s="5">
        <v>44.643470999999998</v>
      </c>
      <c r="J197" s="5">
        <v>6.1995290000000001</v>
      </c>
      <c r="K197" s="6">
        <v>1258</v>
      </c>
      <c r="L197" s="3" t="s">
        <v>1013</v>
      </c>
      <c r="M197" s="7">
        <v>1263</v>
      </c>
      <c r="N197" s="7">
        <v>1984</v>
      </c>
      <c r="O197" s="7">
        <f t="shared" si="3"/>
        <v>721</v>
      </c>
      <c r="P197" s="7">
        <v>1572</v>
      </c>
      <c r="Q197" s="8">
        <v>0</v>
      </c>
      <c r="R197" s="9">
        <v>14.5</v>
      </c>
      <c r="S197" s="6">
        <v>20</v>
      </c>
      <c r="T197" s="6">
        <v>10</v>
      </c>
      <c r="U197" s="6">
        <v>13</v>
      </c>
      <c r="V197" s="6">
        <v>3</v>
      </c>
      <c r="W197" s="6">
        <v>3</v>
      </c>
      <c r="X197" s="6">
        <v>1</v>
      </c>
      <c r="Y197" s="6"/>
      <c r="Z197" s="10">
        <v>0.12</v>
      </c>
      <c r="AA197" s="11" t="s">
        <v>1014</v>
      </c>
      <c r="AB197" s="3" t="s">
        <v>149</v>
      </c>
      <c r="AC197" s="3"/>
      <c r="AD197" s="3" t="s">
        <v>1015</v>
      </c>
      <c r="AE197" s="11" t="s">
        <v>1016</v>
      </c>
    </row>
    <row r="198" spans="1:31" x14ac:dyDescent="0.25">
      <c r="A198" s="2" t="s">
        <v>1017</v>
      </c>
      <c r="B198" s="3" t="s">
        <v>34</v>
      </c>
      <c r="C198" s="3" t="s">
        <v>778</v>
      </c>
      <c r="D198" s="4" t="s">
        <v>822</v>
      </c>
      <c r="E198" s="3" t="s">
        <v>972</v>
      </c>
      <c r="F198" s="3" t="s">
        <v>1018</v>
      </c>
      <c r="G198" s="4" t="s">
        <v>1019</v>
      </c>
      <c r="H198" s="3" t="s">
        <v>39</v>
      </c>
      <c r="I198" s="5">
        <v>44.374160000000003</v>
      </c>
      <c r="J198" s="5">
        <v>6.6813799999999999</v>
      </c>
      <c r="K198" s="6">
        <v>1353</v>
      </c>
      <c r="L198" s="3" t="s">
        <v>977</v>
      </c>
      <c r="M198" s="7">
        <v>1374</v>
      </c>
      <c r="N198" s="7">
        <v>2438</v>
      </c>
      <c r="O198" s="7">
        <f t="shared" si="3"/>
        <v>1064</v>
      </c>
      <c r="P198" s="7">
        <v>1973</v>
      </c>
      <c r="Q198" s="8">
        <v>0.44800000000000001</v>
      </c>
      <c r="R198" s="9">
        <v>51.7</v>
      </c>
      <c r="S198" s="6">
        <v>120</v>
      </c>
      <c r="T198" s="6">
        <v>21</v>
      </c>
      <c r="U198" s="6">
        <v>24</v>
      </c>
      <c r="V198" s="6">
        <v>36</v>
      </c>
      <c r="W198" s="6">
        <v>36</v>
      </c>
      <c r="X198" s="6">
        <v>6</v>
      </c>
      <c r="Y198" s="6">
        <v>18</v>
      </c>
      <c r="Z198" s="10">
        <v>0.19</v>
      </c>
      <c r="AA198" s="3"/>
      <c r="AB198" s="3"/>
      <c r="AC198" s="3"/>
      <c r="AD198" s="3" t="s">
        <v>978</v>
      </c>
      <c r="AE198" s="11" t="s">
        <v>1020</v>
      </c>
    </row>
    <row r="199" spans="1:31" x14ac:dyDescent="0.25">
      <c r="A199" s="2" t="s">
        <v>1021</v>
      </c>
      <c r="B199" s="3" t="s">
        <v>34</v>
      </c>
      <c r="C199" s="3" t="s">
        <v>778</v>
      </c>
      <c r="D199" s="4" t="s">
        <v>779</v>
      </c>
      <c r="E199" s="3" t="s">
        <v>1022</v>
      </c>
      <c r="F199" s="3" t="s">
        <v>1023</v>
      </c>
      <c r="G199" s="4" t="s">
        <v>1024</v>
      </c>
      <c r="H199" s="3" t="s">
        <v>39</v>
      </c>
      <c r="I199" s="5">
        <v>44.952399999999997</v>
      </c>
      <c r="J199" s="5">
        <v>6.5533999999999999</v>
      </c>
      <c r="K199" s="6">
        <v>1413</v>
      </c>
      <c r="L199" s="3" t="s">
        <v>1025</v>
      </c>
      <c r="M199" s="7">
        <v>1217</v>
      </c>
      <c r="N199" s="7">
        <v>2769</v>
      </c>
      <c r="O199" s="7">
        <f t="shared" si="3"/>
        <v>1552</v>
      </c>
      <c r="P199" s="7">
        <v>2022</v>
      </c>
      <c r="Q199" s="8">
        <v>0.53100000000000003</v>
      </c>
      <c r="R199" s="9">
        <v>424.4</v>
      </c>
      <c r="S199" s="6">
        <v>428</v>
      </c>
      <c r="T199" s="6">
        <v>70</v>
      </c>
      <c r="U199" s="6">
        <v>124</v>
      </c>
      <c r="V199" s="6">
        <v>137</v>
      </c>
      <c r="W199" s="6">
        <v>116</v>
      </c>
      <c r="X199" s="6">
        <v>42</v>
      </c>
      <c r="Y199" s="6">
        <v>9</v>
      </c>
      <c r="Z199" s="10">
        <v>0.51</v>
      </c>
      <c r="AA199" s="11" t="s">
        <v>1026</v>
      </c>
      <c r="AB199" s="3" t="s">
        <v>103</v>
      </c>
      <c r="AC199" s="11" t="s">
        <v>1027</v>
      </c>
      <c r="AD199" s="3" t="s">
        <v>1028</v>
      </c>
      <c r="AE199" s="11" t="s">
        <v>1029</v>
      </c>
    </row>
    <row r="200" spans="1:31" x14ac:dyDescent="0.25">
      <c r="A200" s="2" t="s">
        <v>1030</v>
      </c>
      <c r="B200" s="3" t="s">
        <v>34</v>
      </c>
      <c r="C200" s="3" t="s">
        <v>778</v>
      </c>
      <c r="D200" s="4" t="s">
        <v>779</v>
      </c>
      <c r="E200" s="3" t="s">
        <v>1031</v>
      </c>
      <c r="F200" s="3" t="s">
        <v>1032</v>
      </c>
      <c r="G200" s="4" t="s">
        <v>1033</v>
      </c>
      <c r="H200" s="3" t="s">
        <v>39</v>
      </c>
      <c r="I200" s="5">
        <v>44.931750000000001</v>
      </c>
      <c r="J200" s="5">
        <v>6.5894399999999997</v>
      </c>
      <c r="K200" s="6">
        <v>1356</v>
      </c>
      <c r="L200" s="3" t="s">
        <v>1025</v>
      </c>
      <c r="M200" s="7">
        <v>1217</v>
      </c>
      <c r="N200" s="7">
        <v>2769</v>
      </c>
      <c r="O200" s="7">
        <f t="shared" si="3"/>
        <v>1552</v>
      </c>
      <c r="P200" s="7">
        <v>2022</v>
      </c>
      <c r="Q200" s="8">
        <v>0.53100000000000003</v>
      </c>
      <c r="R200" s="9">
        <v>424.4</v>
      </c>
      <c r="S200" s="6">
        <v>428</v>
      </c>
      <c r="T200" s="6">
        <v>70</v>
      </c>
      <c r="U200" s="6">
        <v>124</v>
      </c>
      <c r="V200" s="6">
        <v>137</v>
      </c>
      <c r="W200" s="6">
        <v>116</v>
      </c>
      <c r="X200" s="6">
        <v>42</v>
      </c>
      <c r="Y200" s="6">
        <v>9</v>
      </c>
      <c r="Z200" s="10">
        <v>0.17</v>
      </c>
      <c r="AA200" s="11" t="s">
        <v>1026</v>
      </c>
      <c r="AB200" s="3" t="s">
        <v>103</v>
      </c>
      <c r="AC200" s="3"/>
      <c r="AD200" s="3" t="s">
        <v>1028</v>
      </c>
      <c r="AE200" s="3"/>
    </row>
    <row r="201" spans="1:31" x14ac:dyDescent="0.25">
      <c r="A201" s="2" t="s">
        <v>1034</v>
      </c>
      <c r="B201" s="3" t="s">
        <v>34</v>
      </c>
      <c r="C201" s="3" t="s">
        <v>778</v>
      </c>
      <c r="D201" s="4" t="s">
        <v>779</v>
      </c>
      <c r="E201" s="3" t="s">
        <v>1035</v>
      </c>
      <c r="F201" s="3" t="s">
        <v>1036</v>
      </c>
      <c r="G201" s="4" t="s">
        <v>1037</v>
      </c>
      <c r="H201" s="3" t="s">
        <v>39</v>
      </c>
      <c r="I201" s="5">
        <v>44.975259999999999</v>
      </c>
      <c r="J201" s="5">
        <v>6.5107900000000001</v>
      </c>
      <c r="K201" s="6">
        <v>1481</v>
      </c>
      <c r="L201" s="3" t="s">
        <v>1025</v>
      </c>
      <c r="M201" s="7">
        <v>1217</v>
      </c>
      <c r="N201" s="7">
        <v>2769</v>
      </c>
      <c r="O201" s="7">
        <f t="shared" si="3"/>
        <v>1552</v>
      </c>
      <c r="P201" s="7">
        <v>2022</v>
      </c>
      <c r="Q201" s="8">
        <v>0.53100000000000003</v>
      </c>
      <c r="R201" s="9">
        <v>424.4</v>
      </c>
      <c r="S201" s="6">
        <v>428</v>
      </c>
      <c r="T201" s="6">
        <v>70</v>
      </c>
      <c r="U201" s="6">
        <v>124</v>
      </c>
      <c r="V201" s="6">
        <v>137</v>
      </c>
      <c r="W201" s="6">
        <v>116</v>
      </c>
      <c r="X201" s="6">
        <v>42</v>
      </c>
      <c r="Y201" s="6">
        <v>9</v>
      </c>
      <c r="Z201" s="10">
        <v>0.45</v>
      </c>
      <c r="AA201" s="11" t="s">
        <v>1026</v>
      </c>
      <c r="AB201" s="3" t="s">
        <v>103</v>
      </c>
      <c r="AC201" s="3"/>
      <c r="AD201" s="3" t="s">
        <v>1028</v>
      </c>
      <c r="AE201" s="3"/>
    </row>
    <row r="202" spans="1:31" x14ac:dyDescent="0.25">
      <c r="A202" s="2" t="s">
        <v>1038</v>
      </c>
      <c r="B202" s="3" t="s">
        <v>34</v>
      </c>
      <c r="C202" s="3" t="s">
        <v>778</v>
      </c>
      <c r="D202" s="4" t="s">
        <v>779</v>
      </c>
      <c r="E202" s="3" t="s">
        <v>1022</v>
      </c>
      <c r="F202" s="3" t="s">
        <v>1023</v>
      </c>
      <c r="G202" s="4" t="s">
        <v>1024</v>
      </c>
      <c r="H202" s="3" t="s">
        <v>39</v>
      </c>
      <c r="I202" s="5">
        <v>44.946129999999997</v>
      </c>
      <c r="J202" s="5">
        <v>6.5633400000000002</v>
      </c>
      <c r="K202" s="6">
        <v>1396</v>
      </c>
      <c r="L202" s="3" t="s">
        <v>1025</v>
      </c>
      <c r="M202" s="7">
        <v>1217</v>
      </c>
      <c r="N202" s="7">
        <v>2769</v>
      </c>
      <c r="O202" s="7">
        <f t="shared" si="3"/>
        <v>1552</v>
      </c>
      <c r="P202" s="7">
        <v>2022</v>
      </c>
      <c r="Q202" s="8">
        <v>0.53100000000000003</v>
      </c>
      <c r="R202" s="9">
        <v>424.4</v>
      </c>
      <c r="S202" s="6">
        <v>428</v>
      </c>
      <c r="T202" s="6">
        <v>70</v>
      </c>
      <c r="U202" s="6">
        <v>124</v>
      </c>
      <c r="V202" s="6">
        <v>137</v>
      </c>
      <c r="W202" s="6">
        <v>116</v>
      </c>
      <c r="X202" s="6">
        <v>42</v>
      </c>
      <c r="Y202" s="6">
        <v>9</v>
      </c>
      <c r="Z202" s="10">
        <v>0.31</v>
      </c>
      <c r="AA202" s="11" t="s">
        <v>1026</v>
      </c>
      <c r="AB202" s="3" t="s">
        <v>103</v>
      </c>
      <c r="AC202" s="3"/>
      <c r="AD202" s="3" t="s">
        <v>1028</v>
      </c>
      <c r="AE202" s="3"/>
    </row>
    <row r="203" spans="1:31" x14ac:dyDescent="0.25">
      <c r="A203" s="2" t="s">
        <v>1039</v>
      </c>
      <c r="B203" s="3" t="s">
        <v>34</v>
      </c>
      <c r="C203" s="3" t="s">
        <v>778</v>
      </c>
      <c r="D203" s="4" t="s">
        <v>779</v>
      </c>
      <c r="E203" s="3" t="s">
        <v>956</v>
      </c>
      <c r="F203" s="3" t="s">
        <v>957</v>
      </c>
      <c r="G203" s="4" t="s">
        <v>958</v>
      </c>
      <c r="H203" s="3" t="s">
        <v>39</v>
      </c>
      <c r="I203" s="5">
        <v>44.677844999999998</v>
      </c>
      <c r="J203" s="5">
        <v>6.2754209999999997</v>
      </c>
      <c r="K203" s="6">
        <v>1455</v>
      </c>
      <c r="L203" s="3" t="s">
        <v>1040</v>
      </c>
      <c r="M203" s="7">
        <v>1462</v>
      </c>
      <c r="N203" s="7">
        <v>1990</v>
      </c>
      <c r="O203" s="7">
        <f t="shared" si="3"/>
        <v>528</v>
      </c>
      <c r="P203" s="7">
        <v>1631</v>
      </c>
      <c r="Q203" s="8">
        <v>0</v>
      </c>
      <c r="R203" s="9">
        <v>11.1</v>
      </c>
      <c r="S203" s="6">
        <v>12</v>
      </c>
      <c r="T203" s="6">
        <v>3</v>
      </c>
      <c r="U203" s="6">
        <v>2</v>
      </c>
      <c r="V203" s="6">
        <v>2</v>
      </c>
      <c r="W203" s="6">
        <v>6</v>
      </c>
      <c r="X203" s="6">
        <v>2</v>
      </c>
      <c r="Y203" s="6"/>
      <c r="Z203" s="10">
        <v>0.04</v>
      </c>
      <c r="AA203" s="11" t="s">
        <v>1041</v>
      </c>
      <c r="AB203" s="3" t="s">
        <v>149</v>
      </c>
      <c r="AC203" s="11" t="s">
        <v>1042</v>
      </c>
      <c r="AD203" s="3" t="s">
        <v>1043</v>
      </c>
      <c r="AE203" s="11" t="s">
        <v>1044</v>
      </c>
    </row>
    <row r="204" spans="1:31" x14ac:dyDescent="0.25">
      <c r="A204" s="2" t="s">
        <v>1045</v>
      </c>
      <c r="B204" s="3" t="s">
        <v>34</v>
      </c>
      <c r="C204" s="3" t="s">
        <v>778</v>
      </c>
      <c r="D204" s="4" t="s">
        <v>822</v>
      </c>
      <c r="E204" s="3" t="s">
        <v>823</v>
      </c>
      <c r="F204" s="3" t="s">
        <v>889</v>
      </c>
      <c r="G204" s="4" t="s">
        <v>890</v>
      </c>
      <c r="H204" s="3" t="s">
        <v>39</v>
      </c>
      <c r="I204" s="5">
        <v>44.343634000000002</v>
      </c>
      <c r="J204" s="5">
        <v>6.3676050000000002</v>
      </c>
      <c r="K204" s="6">
        <v>1171</v>
      </c>
      <c r="L204" s="3" t="s">
        <v>888</v>
      </c>
      <c r="M204" s="7">
        <v>1349</v>
      </c>
      <c r="N204" s="7">
        <v>1602</v>
      </c>
      <c r="O204" s="7">
        <f t="shared" si="3"/>
        <v>253</v>
      </c>
      <c r="P204" s="7">
        <v>1360</v>
      </c>
      <c r="Q204" s="8">
        <v>0</v>
      </c>
      <c r="R204" s="9">
        <v>0.2</v>
      </c>
      <c r="S204" s="6">
        <v>2</v>
      </c>
      <c r="T204" s="6">
        <v>4</v>
      </c>
      <c r="U204" s="6"/>
      <c r="V204" s="6"/>
      <c r="W204" s="6">
        <v>1</v>
      </c>
      <c r="X204" s="6"/>
      <c r="Y204" s="6">
        <v>1</v>
      </c>
      <c r="Z204" s="10">
        <v>2.95</v>
      </c>
      <c r="AA204" s="3"/>
      <c r="AB204" s="3"/>
      <c r="AC204" s="3"/>
      <c r="AD204" s="3" t="s">
        <v>891</v>
      </c>
      <c r="AE204" s="11" t="s">
        <v>1046</v>
      </c>
    </row>
    <row r="205" spans="1:31" x14ac:dyDescent="0.25">
      <c r="A205" s="2" t="s">
        <v>1047</v>
      </c>
      <c r="B205" s="3" t="s">
        <v>158</v>
      </c>
      <c r="C205" s="3" t="s">
        <v>778</v>
      </c>
      <c r="D205" s="4" t="s">
        <v>822</v>
      </c>
      <c r="E205" s="3" t="s">
        <v>972</v>
      </c>
      <c r="F205" s="3" t="s">
        <v>1018</v>
      </c>
      <c r="G205" s="4" t="s">
        <v>1019</v>
      </c>
      <c r="H205" s="3" t="s">
        <v>39</v>
      </c>
      <c r="I205" s="5">
        <v>44.357819999999997</v>
      </c>
      <c r="J205" s="5">
        <v>6.6856</v>
      </c>
      <c r="K205" s="6">
        <v>1706</v>
      </c>
      <c r="L205" s="3" t="s">
        <v>977</v>
      </c>
      <c r="M205" s="7">
        <v>1374</v>
      </c>
      <c r="N205" s="7">
        <v>2438</v>
      </c>
      <c r="O205" s="7">
        <f t="shared" si="3"/>
        <v>1064</v>
      </c>
      <c r="P205" s="7">
        <v>1973</v>
      </c>
      <c r="Q205" s="8">
        <v>0.44800000000000001</v>
      </c>
      <c r="R205" s="9">
        <v>51.7</v>
      </c>
      <c r="S205" s="6">
        <v>120</v>
      </c>
      <c r="T205" s="6">
        <v>21</v>
      </c>
      <c r="U205" s="6">
        <v>24</v>
      </c>
      <c r="V205" s="6">
        <v>36</v>
      </c>
      <c r="W205" s="6">
        <v>36</v>
      </c>
      <c r="X205" s="6">
        <v>6</v>
      </c>
      <c r="Y205" s="6">
        <v>18</v>
      </c>
      <c r="Z205" s="10">
        <v>0.02</v>
      </c>
      <c r="AA205" s="3"/>
      <c r="AB205" s="3"/>
      <c r="AC205" s="3"/>
      <c r="AD205" s="3" t="s">
        <v>978</v>
      </c>
      <c r="AE205" s="3"/>
    </row>
    <row r="206" spans="1:31" x14ac:dyDescent="0.25">
      <c r="A206" s="2" t="s">
        <v>1048</v>
      </c>
      <c r="B206" s="3" t="s">
        <v>34</v>
      </c>
      <c r="C206" s="3" t="s">
        <v>778</v>
      </c>
      <c r="D206" s="4" t="s">
        <v>779</v>
      </c>
      <c r="E206" s="3" t="s">
        <v>873</v>
      </c>
      <c r="F206" s="3" t="s">
        <v>874</v>
      </c>
      <c r="G206" s="4" t="s">
        <v>875</v>
      </c>
      <c r="H206" s="3" t="s">
        <v>39</v>
      </c>
      <c r="I206" s="5">
        <v>44.678339999999999</v>
      </c>
      <c r="J206" s="5">
        <v>5.9270100000000001</v>
      </c>
      <c r="K206" s="6">
        <v>1497</v>
      </c>
      <c r="L206" s="3" t="s">
        <v>874</v>
      </c>
      <c r="M206" s="7">
        <v>1457</v>
      </c>
      <c r="N206" s="7">
        <v>2496</v>
      </c>
      <c r="O206" s="7">
        <f t="shared" si="3"/>
        <v>1039</v>
      </c>
      <c r="P206" s="7">
        <v>1878</v>
      </c>
      <c r="Q206" s="8">
        <v>0.30599999999999999</v>
      </c>
      <c r="R206" s="9">
        <v>72.099999999999994</v>
      </c>
      <c r="S206" s="6">
        <v>108</v>
      </c>
      <c r="T206" s="6">
        <v>23</v>
      </c>
      <c r="U206" s="6">
        <v>11</v>
      </c>
      <c r="V206" s="6">
        <v>60</v>
      </c>
      <c r="W206" s="6">
        <v>23</v>
      </c>
      <c r="X206" s="6">
        <v>7</v>
      </c>
      <c r="Y206" s="6">
        <v>7</v>
      </c>
      <c r="Z206" s="10">
        <v>0.21</v>
      </c>
      <c r="AA206" s="11" t="s">
        <v>876</v>
      </c>
      <c r="AB206" s="3" t="s">
        <v>85</v>
      </c>
      <c r="AC206" s="3"/>
      <c r="AD206" s="3" t="s">
        <v>877</v>
      </c>
      <c r="AE206" s="3"/>
    </row>
    <row r="207" spans="1:31" x14ac:dyDescent="0.25">
      <c r="A207" s="2" t="s">
        <v>1049</v>
      </c>
      <c r="B207" s="3" t="s">
        <v>34</v>
      </c>
      <c r="C207" s="3" t="s">
        <v>778</v>
      </c>
      <c r="D207" s="4" t="s">
        <v>822</v>
      </c>
      <c r="E207" s="3" t="s">
        <v>860</v>
      </c>
      <c r="F207" s="3" t="s">
        <v>861</v>
      </c>
      <c r="G207" s="4" t="s">
        <v>862</v>
      </c>
      <c r="H207" s="3" t="s">
        <v>39</v>
      </c>
      <c r="I207" s="5">
        <v>44.290371899999997</v>
      </c>
      <c r="J207" s="5">
        <v>6.5697404700000002</v>
      </c>
      <c r="K207" s="6">
        <v>1781</v>
      </c>
      <c r="L207" s="3" t="s">
        <v>863</v>
      </c>
      <c r="M207" s="7">
        <v>1495</v>
      </c>
      <c r="N207" s="7">
        <v>2592</v>
      </c>
      <c r="O207" s="7">
        <f t="shared" si="3"/>
        <v>1097</v>
      </c>
      <c r="P207" s="7">
        <v>2180</v>
      </c>
      <c r="Q207" s="8">
        <v>0.74299999999999999</v>
      </c>
      <c r="R207" s="9">
        <v>216.9</v>
      </c>
      <c r="S207" s="6">
        <v>444</v>
      </c>
      <c r="T207" s="6">
        <v>38</v>
      </c>
      <c r="U207" s="6">
        <v>47</v>
      </c>
      <c r="V207" s="6">
        <v>89</v>
      </c>
      <c r="W207" s="6">
        <v>112</v>
      </c>
      <c r="X207" s="6">
        <v>33</v>
      </c>
      <c r="Y207" s="6">
        <v>163</v>
      </c>
      <c r="Z207" s="10">
        <v>0.12</v>
      </c>
      <c r="AA207" s="11" t="s">
        <v>864</v>
      </c>
      <c r="AB207" s="3" t="s">
        <v>103</v>
      </c>
      <c r="AC207" s="11" t="s">
        <v>1050</v>
      </c>
      <c r="AD207" s="3" t="s">
        <v>865</v>
      </c>
      <c r="AE207" s="11" t="s">
        <v>1051</v>
      </c>
    </row>
    <row r="208" spans="1:31" x14ac:dyDescent="0.25">
      <c r="A208" s="2" t="s">
        <v>1052</v>
      </c>
      <c r="B208" s="3" t="s">
        <v>34</v>
      </c>
      <c r="C208" s="3" t="s">
        <v>778</v>
      </c>
      <c r="D208" s="4" t="s">
        <v>799</v>
      </c>
      <c r="E208" s="3" t="s">
        <v>1053</v>
      </c>
      <c r="F208" s="3" t="s">
        <v>1054</v>
      </c>
      <c r="G208" s="4" t="s">
        <v>1055</v>
      </c>
      <c r="H208" s="3" t="s">
        <v>39</v>
      </c>
      <c r="I208" s="5">
        <v>44.095705500000001</v>
      </c>
      <c r="J208" s="5">
        <v>6.9300746000000002</v>
      </c>
      <c r="K208" s="6">
        <v>1675</v>
      </c>
      <c r="L208" s="3" t="s">
        <v>1056</v>
      </c>
      <c r="M208" s="7">
        <v>1414</v>
      </c>
      <c r="N208" s="7">
        <v>2025</v>
      </c>
      <c r="O208" s="7">
        <f t="shared" si="3"/>
        <v>611</v>
      </c>
      <c r="P208" s="7">
        <v>1737</v>
      </c>
      <c r="Q208" s="8">
        <v>0.01</v>
      </c>
      <c r="R208" s="9">
        <v>77.7</v>
      </c>
      <c r="S208" s="6">
        <v>111</v>
      </c>
      <c r="T208" s="6">
        <v>25</v>
      </c>
      <c r="U208" s="6">
        <v>32</v>
      </c>
      <c r="V208" s="6">
        <v>22</v>
      </c>
      <c r="W208" s="6">
        <v>47</v>
      </c>
      <c r="X208" s="6">
        <v>10</v>
      </c>
      <c r="Y208" s="6"/>
      <c r="Z208" s="10">
        <v>0.1</v>
      </c>
      <c r="AA208" s="11" t="s">
        <v>1057</v>
      </c>
      <c r="AB208" s="3"/>
      <c r="AC208" s="11" t="s">
        <v>1058</v>
      </c>
      <c r="AD208" s="3" t="s">
        <v>1059</v>
      </c>
      <c r="AE208" s="11" t="s">
        <v>1060</v>
      </c>
    </row>
    <row r="209" spans="1:31" x14ac:dyDescent="0.25">
      <c r="A209" s="2" t="s">
        <v>901</v>
      </c>
      <c r="B209" s="3" t="s">
        <v>34</v>
      </c>
      <c r="C209" s="3" t="s">
        <v>778</v>
      </c>
      <c r="D209" s="4" t="s">
        <v>779</v>
      </c>
      <c r="E209" s="3" t="s">
        <v>900</v>
      </c>
      <c r="F209" s="3" t="s">
        <v>901</v>
      </c>
      <c r="G209" s="4" t="s">
        <v>902</v>
      </c>
      <c r="H209" s="3" t="s">
        <v>39</v>
      </c>
      <c r="I209" s="5">
        <v>44.570809599999997</v>
      </c>
      <c r="J209" s="5">
        <v>6.6828113099999999</v>
      </c>
      <c r="K209" s="6">
        <v>1876</v>
      </c>
      <c r="L209" s="3" t="s">
        <v>903</v>
      </c>
      <c r="M209" s="7">
        <v>1632</v>
      </c>
      <c r="N209" s="7">
        <v>2728</v>
      </c>
      <c r="O209" s="7">
        <f t="shared" si="3"/>
        <v>1096</v>
      </c>
      <c r="P209" s="7">
        <v>2204</v>
      </c>
      <c r="Q209" s="8">
        <v>0.80700000000000005</v>
      </c>
      <c r="R209" s="9">
        <v>134</v>
      </c>
      <c r="S209" s="6">
        <v>194</v>
      </c>
      <c r="T209" s="6">
        <v>38</v>
      </c>
      <c r="U209" s="6">
        <v>43</v>
      </c>
      <c r="V209" s="6">
        <v>89</v>
      </c>
      <c r="W209" s="6">
        <v>43</v>
      </c>
      <c r="X209" s="6">
        <v>13</v>
      </c>
      <c r="Y209" s="6">
        <v>6</v>
      </c>
      <c r="Z209" s="10">
        <v>0.09</v>
      </c>
      <c r="AA209" s="11" t="s">
        <v>904</v>
      </c>
      <c r="AB209" s="3" t="s">
        <v>905</v>
      </c>
      <c r="AC209" s="11" t="s">
        <v>1061</v>
      </c>
      <c r="AD209" s="3" t="s">
        <v>906</v>
      </c>
      <c r="AE209" s="11" t="s">
        <v>1062</v>
      </c>
    </row>
    <row r="210" spans="1:31" x14ac:dyDescent="0.25">
      <c r="A210" s="2" t="s">
        <v>1063</v>
      </c>
      <c r="B210" s="3" t="s">
        <v>158</v>
      </c>
      <c r="C210" s="3" t="s">
        <v>778</v>
      </c>
      <c r="D210" s="4" t="s">
        <v>779</v>
      </c>
      <c r="E210" s="3" t="s">
        <v>900</v>
      </c>
      <c r="F210" s="3" t="s">
        <v>901</v>
      </c>
      <c r="G210" s="4" t="s">
        <v>902</v>
      </c>
      <c r="H210" s="3" t="s">
        <v>39</v>
      </c>
      <c r="I210" s="5">
        <v>44.5929</v>
      </c>
      <c r="J210" s="5">
        <v>6.6924000000000001</v>
      </c>
      <c r="K210" s="6">
        <v>1680</v>
      </c>
      <c r="L210" s="3" t="s">
        <v>903</v>
      </c>
      <c r="M210" s="7">
        <v>1632</v>
      </c>
      <c r="N210" s="7">
        <v>2728</v>
      </c>
      <c r="O210" s="7">
        <f t="shared" si="3"/>
        <v>1096</v>
      </c>
      <c r="P210" s="7">
        <v>2204</v>
      </c>
      <c r="Q210" s="8">
        <v>0.80700000000000005</v>
      </c>
      <c r="R210" s="9">
        <v>134</v>
      </c>
      <c r="S210" s="6">
        <v>194</v>
      </c>
      <c r="T210" s="6">
        <v>38</v>
      </c>
      <c r="U210" s="6">
        <v>43</v>
      </c>
      <c r="V210" s="6">
        <v>89</v>
      </c>
      <c r="W210" s="6">
        <v>43</v>
      </c>
      <c r="X210" s="6">
        <v>13</v>
      </c>
      <c r="Y210" s="6">
        <v>6</v>
      </c>
      <c r="Z210" s="10">
        <v>0.13</v>
      </c>
      <c r="AA210" s="11" t="s">
        <v>904</v>
      </c>
      <c r="AB210" s="3" t="s">
        <v>905</v>
      </c>
      <c r="AC210" s="3"/>
      <c r="AD210" s="3" t="s">
        <v>906</v>
      </c>
      <c r="AE210" s="3"/>
    </row>
    <row r="211" spans="1:31" x14ac:dyDescent="0.25">
      <c r="A211" s="2" t="s">
        <v>1064</v>
      </c>
      <c r="B211" s="3" t="s">
        <v>34</v>
      </c>
      <c r="C211" s="3" t="s">
        <v>1065</v>
      </c>
      <c r="D211" s="4" t="s">
        <v>1065</v>
      </c>
      <c r="E211" s="3" t="s">
        <v>1066</v>
      </c>
      <c r="F211" s="3" t="s">
        <v>1064</v>
      </c>
      <c r="G211" s="4" t="s">
        <v>1067</v>
      </c>
      <c r="H211" s="3" t="s">
        <v>39</v>
      </c>
      <c r="I211" s="5">
        <v>46.558329999999998</v>
      </c>
      <c r="J211" s="5">
        <v>6.0639599999999998</v>
      </c>
      <c r="K211" s="6">
        <v>1022</v>
      </c>
      <c r="L211" s="3" t="s">
        <v>1064</v>
      </c>
      <c r="M211" s="7">
        <v>1029</v>
      </c>
      <c r="N211" s="7">
        <v>1257</v>
      </c>
      <c r="O211" s="7">
        <f t="shared" si="3"/>
        <v>228</v>
      </c>
      <c r="P211" s="7">
        <v>1103</v>
      </c>
      <c r="Q211" s="8">
        <v>0</v>
      </c>
      <c r="R211" s="9">
        <v>3.6</v>
      </c>
      <c r="S211" s="6">
        <v>7</v>
      </c>
      <c r="T211" s="6">
        <v>5</v>
      </c>
      <c r="U211" s="6">
        <v>2</v>
      </c>
      <c r="V211" s="6">
        <v>4</v>
      </c>
      <c r="W211" s="6">
        <v>1</v>
      </c>
      <c r="X211" s="6"/>
      <c r="Y211" s="6"/>
      <c r="Z211" s="10">
        <v>0.35</v>
      </c>
      <c r="AA211" s="3"/>
      <c r="AB211" s="3"/>
      <c r="AC211" s="3"/>
      <c r="AD211" s="3" t="s">
        <v>1068</v>
      </c>
      <c r="AE211" s="11" t="s">
        <v>1069</v>
      </c>
    </row>
    <row r="212" spans="1:31" x14ac:dyDescent="0.25">
      <c r="A212" s="2" t="s">
        <v>1070</v>
      </c>
      <c r="B212" s="3" t="s">
        <v>34</v>
      </c>
      <c r="C212" s="3" t="s">
        <v>1065</v>
      </c>
      <c r="D212" s="4" t="s">
        <v>1071</v>
      </c>
      <c r="E212" s="3" t="s">
        <v>1072</v>
      </c>
      <c r="F212" s="3" t="s">
        <v>1073</v>
      </c>
      <c r="G212" s="4" t="s">
        <v>1074</v>
      </c>
      <c r="H212" s="3" t="s">
        <v>39</v>
      </c>
      <c r="I212" s="5">
        <v>47.024433999999999</v>
      </c>
      <c r="J212" s="5">
        <v>6.4327379999999996</v>
      </c>
      <c r="K212" s="6">
        <v>881</v>
      </c>
      <c r="L212" s="3" t="s">
        <v>1075</v>
      </c>
      <c r="M212" s="7">
        <v>882</v>
      </c>
      <c r="N212" s="7">
        <v>981</v>
      </c>
      <c r="O212" s="7">
        <f t="shared" si="3"/>
        <v>99</v>
      </c>
      <c r="P212" s="7">
        <v>925</v>
      </c>
      <c r="Q212" s="8">
        <v>0</v>
      </c>
      <c r="R212" s="9">
        <v>1</v>
      </c>
      <c r="S212" s="6">
        <v>2</v>
      </c>
      <c r="T212" s="6">
        <v>1</v>
      </c>
      <c r="U212" s="6"/>
      <c r="V212" s="6">
        <v>2</v>
      </c>
      <c r="W212" s="6"/>
      <c r="X212" s="6"/>
      <c r="Y212" s="6"/>
      <c r="Z212" s="10">
        <v>0.68</v>
      </c>
      <c r="AA212" s="3"/>
      <c r="AB212" s="3"/>
      <c r="AC212" s="3"/>
      <c r="AD212" s="3" t="s">
        <v>1076</v>
      </c>
      <c r="AE212" s="11" t="s">
        <v>1077</v>
      </c>
    </row>
    <row r="213" spans="1:31" x14ac:dyDescent="0.25">
      <c r="A213" s="2" t="s">
        <v>1078</v>
      </c>
      <c r="B213" s="3" t="s">
        <v>34</v>
      </c>
      <c r="C213" s="3" t="s">
        <v>1065</v>
      </c>
      <c r="D213" s="4" t="s">
        <v>1079</v>
      </c>
      <c r="E213" s="3" t="s">
        <v>1080</v>
      </c>
      <c r="F213" s="3" t="s">
        <v>1081</v>
      </c>
      <c r="G213" s="4" t="s">
        <v>1082</v>
      </c>
      <c r="H213" s="3" t="s">
        <v>39</v>
      </c>
      <c r="I213" s="5">
        <v>45.970624999999998</v>
      </c>
      <c r="J213" s="5">
        <v>5.6015629999999996</v>
      </c>
      <c r="K213" s="6">
        <v>835</v>
      </c>
      <c r="L213" s="3" t="s">
        <v>1083</v>
      </c>
      <c r="M213" s="7">
        <v>933</v>
      </c>
      <c r="N213" s="7">
        <v>1196</v>
      </c>
      <c r="O213" s="7">
        <f t="shared" si="3"/>
        <v>263</v>
      </c>
      <c r="P213" s="7">
        <v>1091</v>
      </c>
      <c r="Q213" s="8">
        <v>0</v>
      </c>
      <c r="R213" s="9">
        <v>5.8</v>
      </c>
      <c r="S213" s="6">
        <v>15</v>
      </c>
      <c r="T213" s="6">
        <v>5</v>
      </c>
      <c r="U213" s="6">
        <v>4</v>
      </c>
      <c r="V213" s="6">
        <v>4</v>
      </c>
      <c r="W213" s="6">
        <v>5</v>
      </c>
      <c r="X213" s="6">
        <v>2</v>
      </c>
      <c r="Y213" s="6"/>
      <c r="Z213" s="10">
        <v>2.19</v>
      </c>
      <c r="AA213" s="3"/>
      <c r="AB213" s="3"/>
      <c r="AC213" s="3"/>
      <c r="AD213" s="3" t="s">
        <v>1084</v>
      </c>
      <c r="AE213" s="11" t="s">
        <v>1085</v>
      </c>
    </row>
    <row r="214" spans="1:31" x14ac:dyDescent="0.25">
      <c r="A214" s="2" t="s">
        <v>1086</v>
      </c>
      <c r="B214" s="3" t="s">
        <v>34</v>
      </c>
      <c r="C214" s="3" t="s">
        <v>1065</v>
      </c>
      <c r="D214" s="4" t="s">
        <v>1071</v>
      </c>
      <c r="E214" s="3" t="s">
        <v>1087</v>
      </c>
      <c r="F214" s="3" t="s">
        <v>1088</v>
      </c>
      <c r="G214" s="4" t="s">
        <v>1089</v>
      </c>
      <c r="H214" s="3" t="s">
        <v>39</v>
      </c>
      <c r="I214" s="5">
        <v>47.201779999999999</v>
      </c>
      <c r="J214" s="5">
        <v>6.8409800000000001</v>
      </c>
      <c r="K214" s="6">
        <v>867</v>
      </c>
      <c r="L214" s="3" t="s">
        <v>1086</v>
      </c>
      <c r="M214" s="7">
        <v>867</v>
      </c>
      <c r="N214" s="7">
        <v>1044</v>
      </c>
      <c r="O214" s="7">
        <f t="shared" si="3"/>
        <v>177</v>
      </c>
      <c r="P214" s="7">
        <v>941</v>
      </c>
      <c r="Q214" s="8">
        <v>0</v>
      </c>
      <c r="R214" s="9">
        <v>3.5</v>
      </c>
      <c r="S214" s="6">
        <v>5</v>
      </c>
      <c r="T214" s="6">
        <v>4</v>
      </c>
      <c r="U214" s="6">
        <v>1</v>
      </c>
      <c r="V214" s="6">
        <v>4</v>
      </c>
      <c r="W214" s="6"/>
      <c r="X214" s="6"/>
      <c r="Y214" s="6"/>
      <c r="Z214" s="10">
        <v>0.09</v>
      </c>
      <c r="AA214" s="3"/>
      <c r="AB214" s="3"/>
      <c r="AC214" s="3"/>
      <c r="AD214" s="3" t="s">
        <v>1090</v>
      </c>
      <c r="AE214" s="11" t="s">
        <v>1091</v>
      </c>
    </row>
    <row r="215" spans="1:31" x14ac:dyDescent="0.25">
      <c r="A215" s="2" t="s">
        <v>1092</v>
      </c>
      <c r="B215" s="3" t="s">
        <v>34</v>
      </c>
      <c r="C215" s="3" t="s">
        <v>1065</v>
      </c>
      <c r="D215" s="4" t="s">
        <v>1071</v>
      </c>
      <c r="E215" s="3" t="s">
        <v>1093</v>
      </c>
      <c r="F215" s="3" t="s">
        <v>1094</v>
      </c>
      <c r="G215" s="4" t="s">
        <v>1095</v>
      </c>
      <c r="H215" s="3" t="s">
        <v>39</v>
      </c>
      <c r="I215" s="5">
        <v>46.907490000000003</v>
      </c>
      <c r="J215" s="5">
        <v>6.3749500000000001</v>
      </c>
      <c r="K215" s="6">
        <v>840</v>
      </c>
      <c r="L215" s="3" t="s">
        <v>1096</v>
      </c>
      <c r="M215" s="7">
        <v>1094</v>
      </c>
      <c r="N215" s="7">
        <v>1224</v>
      </c>
      <c r="O215" s="7">
        <f t="shared" si="3"/>
        <v>130</v>
      </c>
      <c r="P215" s="7">
        <v>1172</v>
      </c>
      <c r="Q215" s="8">
        <v>0</v>
      </c>
      <c r="R215" s="9">
        <v>5.6</v>
      </c>
      <c r="S215" s="6">
        <v>14</v>
      </c>
      <c r="T215" s="6">
        <v>6</v>
      </c>
      <c r="U215" s="6">
        <v>3</v>
      </c>
      <c r="V215" s="6">
        <v>7</v>
      </c>
      <c r="W215" s="6">
        <v>3</v>
      </c>
      <c r="X215" s="6"/>
      <c r="Y215" s="6">
        <v>1</v>
      </c>
      <c r="Z215" s="10">
        <v>8.33</v>
      </c>
      <c r="AA215" s="3"/>
      <c r="AB215" s="3"/>
      <c r="AC215" s="3"/>
      <c r="AD215" s="3" t="s">
        <v>1097</v>
      </c>
      <c r="AE215" s="11" t="s">
        <v>1098</v>
      </c>
    </row>
    <row r="216" spans="1:31" x14ac:dyDescent="0.25">
      <c r="A216" s="2" t="s">
        <v>1096</v>
      </c>
      <c r="B216" s="3" t="s">
        <v>34</v>
      </c>
      <c r="C216" s="3" t="s">
        <v>1065</v>
      </c>
      <c r="D216" s="4" t="s">
        <v>1071</v>
      </c>
      <c r="E216" s="3" t="s">
        <v>1093</v>
      </c>
      <c r="F216" s="3" t="s">
        <v>1096</v>
      </c>
      <c r="G216" s="4" t="s">
        <v>1099</v>
      </c>
      <c r="H216" s="3" t="s">
        <v>39</v>
      </c>
      <c r="I216" s="5">
        <v>46.834721000000002</v>
      </c>
      <c r="J216" s="5">
        <v>6.4072500000000003</v>
      </c>
      <c r="K216" s="6">
        <v>1091</v>
      </c>
      <c r="L216" s="3" t="s">
        <v>1096</v>
      </c>
      <c r="M216" s="7">
        <v>1094</v>
      </c>
      <c r="N216" s="7">
        <v>1224</v>
      </c>
      <c r="O216" s="7">
        <f t="shared" si="3"/>
        <v>130</v>
      </c>
      <c r="P216" s="7">
        <v>1172</v>
      </c>
      <c r="Q216" s="8">
        <v>0</v>
      </c>
      <c r="R216" s="9">
        <v>5.6</v>
      </c>
      <c r="S216" s="6">
        <v>14</v>
      </c>
      <c r="T216" s="6">
        <v>6</v>
      </c>
      <c r="U216" s="6">
        <v>3</v>
      </c>
      <c r="V216" s="6">
        <v>7</v>
      </c>
      <c r="W216" s="6">
        <v>3</v>
      </c>
      <c r="X216" s="6"/>
      <c r="Y216" s="6">
        <v>1</v>
      </c>
      <c r="Z216" s="10">
        <v>0.51</v>
      </c>
      <c r="AA216" s="3"/>
      <c r="AB216" s="3"/>
      <c r="AC216" s="3"/>
      <c r="AD216" s="3" t="s">
        <v>1097</v>
      </c>
      <c r="AE216" s="11" t="s">
        <v>1100</v>
      </c>
    </row>
    <row r="217" spans="1:31" x14ac:dyDescent="0.25">
      <c r="A217" s="2" t="s">
        <v>1101</v>
      </c>
      <c r="B217" s="3" t="s">
        <v>34</v>
      </c>
      <c r="C217" s="3" t="s">
        <v>1065</v>
      </c>
      <c r="D217" s="4" t="s">
        <v>1065</v>
      </c>
      <c r="E217" s="3" t="s">
        <v>1102</v>
      </c>
      <c r="F217" s="3" t="s">
        <v>1101</v>
      </c>
      <c r="G217" s="4" t="s">
        <v>1103</v>
      </c>
      <c r="H217" s="3" t="s">
        <v>39</v>
      </c>
      <c r="I217" s="5">
        <v>46.47925</v>
      </c>
      <c r="J217" s="5">
        <v>6.0678700000000001</v>
      </c>
      <c r="K217" s="6">
        <v>1116</v>
      </c>
      <c r="L217" s="3" t="s">
        <v>1101</v>
      </c>
      <c r="M217" s="7">
        <v>1140</v>
      </c>
      <c r="N217" s="7">
        <v>1423</v>
      </c>
      <c r="O217" s="7">
        <f t="shared" si="3"/>
        <v>283</v>
      </c>
      <c r="P217" s="7">
        <v>1264</v>
      </c>
      <c r="Q217" s="8">
        <v>0</v>
      </c>
      <c r="R217" s="9">
        <v>18</v>
      </c>
      <c r="S217" s="6">
        <v>53</v>
      </c>
      <c r="T217" s="6">
        <v>24</v>
      </c>
      <c r="U217" s="6">
        <v>33</v>
      </c>
      <c r="V217" s="6">
        <v>16</v>
      </c>
      <c r="W217" s="6">
        <v>3</v>
      </c>
      <c r="X217" s="6">
        <v>1</v>
      </c>
      <c r="Y217" s="6"/>
      <c r="Z217" s="10">
        <v>2.75</v>
      </c>
      <c r="AA217" s="3"/>
      <c r="AB217" s="3"/>
      <c r="AC217" s="3"/>
      <c r="AD217" s="3" t="s">
        <v>1104</v>
      </c>
      <c r="AE217" s="11" t="s">
        <v>1105</v>
      </c>
    </row>
    <row r="218" spans="1:31" x14ac:dyDescent="0.25">
      <c r="A218" s="2" t="s">
        <v>1106</v>
      </c>
      <c r="B218" s="3" t="s">
        <v>34</v>
      </c>
      <c r="C218" s="3" t="s">
        <v>1065</v>
      </c>
      <c r="D218" s="4" t="s">
        <v>1079</v>
      </c>
      <c r="E218" s="3" t="s">
        <v>1107</v>
      </c>
      <c r="F218" s="3" t="s">
        <v>1108</v>
      </c>
      <c r="G218" s="4" t="s">
        <v>1109</v>
      </c>
      <c r="H218" s="3" t="s">
        <v>39</v>
      </c>
      <c r="I218" s="5">
        <v>46.304101099999997</v>
      </c>
      <c r="J218" s="5">
        <v>5.9440420500000002</v>
      </c>
      <c r="K218" s="6">
        <v>918</v>
      </c>
      <c r="L218" s="3" t="s">
        <v>1106</v>
      </c>
      <c r="M218" s="7">
        <v>866</v>
      </c>
      <c r="N218" s="7">
        <v>1659</v>
      </c>
      <c r="O218" s="7">
        <f t="shared" si="3"/>
        <v>793</v>
      </c>
      <c r="P218" s="7">
        <v>1407</v>
      </c>
      <c r="Q218" s="8">
        <v>0</v>
      </c>
      <c r="R218" s="9">
        <v>20.9</v>
      </c>
      <c r="S218" s="6">
        <v>45</v>
      </c>
      <c r="T218" s="6">
        <v>10</v>
      </c>
      <c r="U218" s="6">
        <v>14</v>
      </c>
      <c r="V218" s="6">
        <v>18</v>
      </c>
      <c r="W218" s="6">
        <v>6</v>
      </c>
      <c r="X218" s="6">
        <v>3</v>
      </c>
      <c r="Y218" s="6">
        <v>4</v>
      </c>
      <c r="Z218" s="10">
        <v>0.02</v>
      </c>
      <c r="AA218" s="11" t="s">
        <v>1110</v>
      </c>
      <c r="AB218" s="3" t="s">
        <v>775</v>
      </c>
      <c r="AC218" s="11" t="s">
        <v>1111</v>
      </c>
      <c r="AD218" s="3" t="s">
        <v>1112</v>
      </c>
      <c r="AE218" s="11" t="s">
        <v>1113</v>
      </c>
    </row>
    <row r="219" spans="1:31" x14ac:dyDescent="0.25">
      <c r="A219" s="2" t="s">
        <v>1114</v>
      </c>
      <c r="B219" s="3" t="s">
        <v>34</v>
      </c>
      <c r="C219" s="3" t="s">
        <v>1065</v>
      </c>
      <c r="D219" s="4" t="s">
        <v>1071</v>
      </c>
      <c r="E219" s="3" t="s">
        <v>1115</v>
      </c>
      <c r="F219" s="3" t="s">
        <v>1114</v>
      </c>
      <c r="G219" s="4" t="s">
        <v>1116</v>
      </c>
      <c r="H219" s="3" t="s">
        <v>39</v>
      </c>
      <c r="I219" s="5">
        <v>46.769672</v>
      </c>
      <c r="J219" s="5">
        <v>6.3501529999999997</v>
      </c>
      <c r="K219" s="6">
        <v>1005</v>
      </c>
      <c r="L219" s="3" t="s">
        <v>1117</v>
      </c>
      <c r="M219" s="7">
        <v>973</v>
      </c>
      <c r="N219" s="7">
        <v>1418</v>
      </c>
      <c r="O219" s="7">
        <f t="shared" si="3"/>
        <v>445</v>
      </c>
      <c r="P219" s="7">
        <v>1283</v>
      </c>
      <c r="Q219" s="8">
        <v>0</v>
      </c>
      <c r="R219" s="9">
        <v>26.1</v>
      </c>
      <c r="S219" s="6">
        <v>50</v>
      </c>
      <c r="T219" s="6">
        <v>12</v>
      </c>
      <c r="U219" s="6">
        <v>17</v>
      </c>
      <c r="V219" s="6">
        <v>21</v>
      </c>
      <c r="W219" s="6">
        <v>10</v>
      </c>
      <c r="X219" s="6">
        <v>1</v>
      </c>
      <c r="Y219" s="6">
        <v>1</v>
      </c>
      <c r="Z219" s="10">
        <v>0.3</v>
      </c>
      <c r="AA219" s="3"/>
      <c r="AB219" s="3"/>
      <c r="AC219" s="3"/>
      <c r="AD219" s="3" t="s">
        <v>1118</v>
      </c>
      <c r="AE219" s="11" t="s">
        <v>1119</v>
      </c>
    </row>
    <row r="220" spans="1:31" x14ac:dyDescent="0.25">
      <c r="A220" s="2" t="s">
        <v>1120</v>
      </c>
      <c r="B220" s="3" t="s">
        <v>34</v>
      </c>
      <c r="C220" s="3" t="s">
        <v>1065</v>
      </c>
      <c r="D220" s="4" t="s">
        <v>1079</v>
      </c>
      <c r="E220" s="3" t="s">
        <v>1121</v>
      </c>
      <c r="F220" s="3" t="s">
        <v>1122</v>
      </c>
      <c r="G220" s="4" t="s">
        <v>1123</v>
      </c>
      <c r="H220" s="3" t="s">
        <v>39</v>
      </c>
      <c r="I220" s="5">
        <v>45.993000000000002</v>
      </c>
      <c r="J220" s="5">
        <v>5.7220000000000004</v>
      </c>
      <c r="K220" s="6">
        <v>896</v>
      </c>
      <c r="L220" s="3" t="s">
        <v>1120</v>
      </c>
      <c r="M220" s="7">
        <v>996</v>
      </c>
      <c r="N220" s="7">
        <v>1228</v>
      </c>
      <c r="O220" s="7">
        <f t="shared" si="3"/>
        <v>232</v>
      </c>
      <c r="P220" s="7">
        <v>1073</v>
      </c>
      <c r="Q220" s="8">
        <v>0</v>
      </c>
      <c r="R220" s="9">
        <v>7.3</v>
      </c>
      <c r="S220" s="6">
        <v>22</v>
      </c>
      <c r="T220" s="6">
        <v>9</v>
      </c>
      <c r="U220" s="6">
        <v>3</v>
      </c>
      <c r="V220" s="6">
        <v>9</v>
      </c>
      <c r="W220" s="6">
        <v>3</v>
      </c>
      <c r="X220" s="6"/>
      <c r="Y220" s="6">
        <v>7</v>
      </c>
      <c r="Z220" s="10">
        <v>4.0199999999999996</v>
      </c>
      <c r="AA220" s="3"/>
      <c r="AB220" s="3"/>
      <c r="AC220" s="3"/>
      <c r="AD220" s="3" t="s">
        <v>1124</v>
      </c>
      <c r="AE220" s="11" t="s">
        <v>1125</v>
      </c>
    </row>
    <row r="221" spans="1:31" x14ac:dyDescent="0.25">
      <c r="A221" s="2" t="s">
        <v>1126</v>
      </c>
      <c r="B221" s="3" t="s">
        <v>34</v>
      </c>
      <c r="C221" s="3" t="s">
        <v>1065</v>
      </c>
      <c r="D221" s="4" t="s">
        <v>1071</v>
      </c>
      <c r="E221" s="3" t="s">
        <v>1127</v>
      </c>
      <c r="F221" s="3" t="s">
        <v>1128</v>
      </c>
      <c r="G221" s="4" t="s">
        <v>1129</v>
      </c>
      <c r="H221" s="3" t="s">
        <v>39</v>
      </c>
      <c r="I221" s="5">
        <v>47.058100000000003</v>
      </c>
      <c r="J221" s="5">
        <v>6.6069000000000004</v>
      </c>
      <c r="K221" s="6">
        <v>773</v>
      </c>
      <c r="L221" s="3" t="s">
        <v>1130</v>
      </c>
      <c r="M221" s="7">
        <v>969</v>
      </c>
      <c r="N221" s="7">
        <v>1269</v>
      </c>
      <c r="O221" s="7">
        <f t="shared" si="3"/>
        <v>300</v>
      </c>
      <c r="P221" s="7">
        <v>1164</v>
      </c>
      <c r="Q221" s="8">
        <v>0</v>
      </c>
      <c r="R221" s="9">
        <v>2.5</v>
      </c>
      <c r="S221" s="6">
        <v>5</v>
      </c>
      <c r="T221" s="6">
        <v>3</v>
      </c>
      <c r="U221" s="6">
        <v>1</v>
      </c>
      <c r="V221" s="6">
        <v>1</v>
      </c>
      <c r="W221" s="6">
        <v>3</v>
      </c>
      <c r="X221" s="6"/>
      <c r="Y221" s="6"/>
      <c r="Z221" s="10">
        <v>4.46</v>
      </c>
      <c r="AA221" s="3"/>
      <c r="AB221" s="3"/>
      <c r="AC221" s="3"/>
      <c r="AD221" s="3" t="s">
        <v>1131</v>
      </c>
      <c r="AE221" s="11" t="s">
        <v>1132</v>
      </c>
    </row>
    <row r="222" spans="1:31" x14ac:dyDescent="0.25">
      <c r="A222" s="2" t="s">
        <v>1133</v>
      </c>
      <c r="B222" s="3" t="s">
        <v>34</v>
      </c>
      <c r="C222" s="3" t="s">
        <v>1134</v>
      </c>
      <c r="D222" s="4" t="s">
        <v>1135</v>
      </c>
      <c r="E222" s="3" t="s">
        <v>1136</v>
      </c>
      <c r="F222" s="3" t="s">
        <v>1137</v>
      </c>
      <c r="G222" s="4" t="s">
        <v>1138</v>
      </c>
      <c r="H222" s="3" t="s">
        <v>39</v>
      </c>
      <c r="I222" s="5">
        <v>45.514436199999999</v>
      </c>
      <c r="J222" s="5">
        <v>2.8538315000000001</v>
      </c>
      <c r="K222" s="6">
        <v>1416</v>
      </c>
      <c r="L222" s="3" t="s">
        <v>1139</v>
      </c>
      <c r="M222" s="7">
        <v>1223</v>
      </c>
      <c r="N222" s="7">
        <v>1834</v>
      </c>
      <c r="O222" s="7">
        <f t="shared" si="3"/>
        <v>611</v>
      </c>
      <c r="P222" s="7">
        <v>1475</v>
      </c>
      <c r="Q222" s="8">
        <v>0</v>
      </c>
      <c r="R222" s="9">
        <v>64.099999999999994</v>
      </c>
      <c r="S222" s="6">
        <v>125</v>
      </c>
      <c r="T222" s="6">
        <v>37</v>
      </c>
      <c r="U222" s="6">
        <v>41</v>
      </c>
      <c r="V222" s="6">
        <v>45</v>
      </c>
      <c r="W222" s="6">
        <v>27</v>
      </c>
      <c r="X222" s="6">
        <v>10</v>
      </c>
      <c r="Y222" s="6">
        <v>2</v>
      </c>
      <c r="Z222" s="10">
        <v>0.05</v>
      </c>
      <c r="AA222" s="11" t="s">
        <v>1140</v>
      </c>
      <c r="AB222" s="3"/>
      <c r="AC222" s="11" t="s">
        <v>1141</v>
      </c>
      <c r="AD222" s="3" t="s">
        <v>1142</v>
      </c>
      <c r="AE222" s="11" t="s">
        <v>1143</v>
      </c>
    </row>
    <row r="223" spans="1:31" x14ac:dyDescent="0.25">
      <c r="A223" s="2" t="s">
        <v>1145</v>
      </c>
      <c r="B223" s="3" t="s">
        <v>34</v>
      </c>
      <c r="C223" s="3" t="s">
        <v>1134</v>
      </c>
      <c r="D223" s="4" t="s">
        <v>1135</v>
      </c>
      <c r="E223" s="3" t="s">
        <v>1146</v>
      </c>
      <c r="F223" s="3" t="s">
        <v>1147</v>
      </c>
      <c r="G223" s="4" t="s">
        <v>1148</v>
      </c>
      <c r="H223" s="3" t="s">
        <v>39</v>
      </c>
      <c r="I223" s="5">
        <v>45.512884</v>
      </c>
      <c r="J223" s="5">
        <v>2.7323629999999999</v>
      </c>
      <c r="K223" s="6">
        <v>1045</v>
      </c>
      <c r="L223" s="3" t="s">
        <v>1145</v>
      </c>
      <c r="M223" s="7">
        <v>1380</v>
      </c>
      <c r="N223" s="7">
        <v>1709</v>
      </c>
      <c r="O223" s="7">
        <f t="shared" si="3"/>
        <v>329</v>
      </c>
      <c r="P223" s="7">
        <v>1514</v>
      </c>
      <c r="Q223" s="8">
        <v>0</v>
      </c>
      <c r="R223" s="9">
        <v>13</v>
      </c>
      <c r="S223" s="6">
        <v>28</v>
      </c>
      <c r="T223" s="6">
        <v>7</v>
      </c>
      <c r="U223" s="6">
        <v>12</v>
      </c>
      <c r="V223" s="6">
        <v>7</v>
      </c>
      <c r="W223" s="6">
        <v>6</v>
      </c>
      <c r="X223" s="6">
        <v>2</v>
      </c>
      <c r="Y223" s="6">
        <v>1</v>
      </c>
      <c r="Z223" s="10">
        <v>3.99</v>
      </c>
      <c r="AA223" s="3"/>
      <c r="AB223" s="3"/>
      <c r="AC223" s="3"/>
      <c r="AD223" s="3" t="s">
        <v>1149</v>
      </c>
      <c r="AE223" s="11" t="s">
        <v>1150</v>
      </c>
    </row>
    <row r="224" spans="1:31" x14ac:dyDescent="0.25">
      <c r="A224" s="2" t="s">
        <v>1151</v>
      </c>
      <c r="B224" s="3" t="s">
        <v>34</v>
      </c>
      <c r="C224" s="3" t="s">
        <v>1134</v>
      </c>
      <c r="D224" s="4" t="s">
        <v>1152</v>
      </c>
      <c r="E224" s="3" t="s">
        <v>1153</v>
      </c>
      <c r="F224" s="3" t="s">
        <v>1154</v>
      </c>
      <c r="G224" s="4" t="s">
        <v>1155</v>
      </c>
      <c r="H224" s="3" t="s">
        <v>39</v>
      </c>
      <c r="I224" s="5">
        <v>44.626170000000002</v>
      </c>
      <c r="J224" s="5">
        <v>4.0880299999999998</v>
      </c>
      <c r="K224" s="6">
        <v>1453</v>
      </c>
      <c r="L224" s="3" t="s">
        <v>1156</v>
      </c>
      <c r="M224" s="7">
        <v>1257</v>
      </c>
      <c r="N224" s="7">
        <v>1506</v>
      </c>
      <c r="O224" s="7">
        <f t="shared" si="3"/>
        <v>249</v>
      </c>
      <c r="P224" s="7">
        <v>1431</v>
      </c>
      <c r="Q224" s="8">
        <v>0</v>
      </c>
      <c r="R224" s="9">
        <v>10.7</v>
      </c>
      <c r="S224" s="6">
        <v>13</v>
      </c>
      <c r="T224" s="6">
        <v>7</v>
      </c>
      <c r="U224" s="6">
        <v>5</v>
      </c>
      <c r="V224" s="6">
        <v>5</v>
      </c>
      <c r="W224" s="6">
        <v>1</v>
      </c>
      <c r="X224" s="6">
        <v>1</v>
      </c>
      <c r="Y224" s="6">
        <v>1</v>
      </c>
      <c r="Z224" s="10">
        <v>0.05</v>
      </c>
      <c r="AA224" s="3"/>
      <c r="AB224" s="3"/>
      <c r="AC224" s="3"/>
      <c r="AD224" s="3" t="s">
        <v>1157</v>
      </c>
      <c r="AE224" s="11" t="s">
        <v>1158</v>
      </c>
    </row>
    <row r="225" spans="1:31" x14ac:dyDescent="0.25">
      <c r="A225" s="2" t="s">
        <v>1159</v>
      </c>
      <c r="B225" s="3" t="s">
        <v>34</v>
      </c>
      <c r="C225" s="3" t="s">
        <v>1134</v>
      </c>
      <c r="D225" s="4" t="s">
        <v>1160</v>
      </c>
      <c r="E225" s="3" t="s">
        <v>1161</v>
      </c>
      <c r="F225" s="3" t="s">
        <v>1162</v>
      </c>
      <c r="G225" s="4" t="s">
        <v>1163</v>
      </c>
      <c r="H225" s="3" t="s">
        <v>39</v>
      </c>
      <c r="I225" s="5">
        <v>44.681440000000002</v>
      </c>
      <c r="J225" s="5">
        <v>2.8574299999999999</v>
      </c>
      <c r="K225" s="6">
        <v>1043</v>
      </c>
      <c r="L225" s="3" t="s">
        <v>1162</v>
      </c>
      <c r="M225" s="7">
        <v>1191</v>
      </c>
      <c r="N225" s="7">
        <v>1399</v>
      </c>
      <c r="O225" s="7">
        <f t="shared" si="3"/>
        <v>208</v>
      </c>
      <c r="P225" s="7">
        <v>1314</v>
      </c>
      <c r="Q225" s="8">
        <v>0</v>
      </c>
      <c r="R225" s="9">
        <v>8.5</v>
      </c>
      <c r="S225" s="6">
        <v>23</v>
      </c>
      <c r="T225" s="6">
        <v>10</v>
      </c>
      <c r="U225" s="6">
        <v>3</v>
      </c>
      <c r="V225" s="6">
        <v>6</v>
      </c>
      <c r="W225" s="6">
        <v>4</v>
      </c>
      <c r="X225" s="6">
        <v>2</v>
      </c>
      <c r="Y225" s="6">
        <v>8</v>
      </c>
      <c r="Z225" s="10">
        <v>4.42</v>
      </c>
      <c r="AA225" s="3"/>
      <c r="AB225" s="3"/>
      <c r="AC225" s="3"/>
      <c r="AD225" s="3" t="s">
        <v>1164</v>
      </c>
      <c r="AE225" s="11" t="s">
        <v>1165</v>
      </c>
    </row>
    <row r="226" spans="1:31" x14ac:dyDescent="0.25">
      <c r="A226" s="2" t="s">
        <v>1166</v>
      </c>
      <c r="B226" s="3" t="s">
        <v>34</v>
      </c>
      <c r="C226" s="3" t="s">
        <v>1134</v>
      </c>
      <c r="D226" s="4" t="s">
        <v>1135</v>
      </c>
      <c r="E226" s="3" t="s">
        <v>1167</v>
      </c>
      <c r="F226" s="3" t="s">
        <v>1166</v>
      </c>
      <c r="G226" s="4" t="s">
        <v>1168</v>
      </c>
      <c r="H226" s="3" t="s">
        <v>39</v>
      </c>
      <c r="I226" s="5">
        <v>45.581373999999997</v>
      </c>
      <c r="J226" s="5">
        <v>2.7458870000000002</v>
      </c>
      <c r="K226" s="6">
        <v>904</v>
      </c>
      <c r="L226" s="3" t="s">
        <v>1139</v>
      </c>
      <c r="M226" s="7">
        <v>1223</v>
      </c>
      <c r="N226" s="7">
        <v>1834</v>
      </c>
      <c r="O226" s="7">
        <f t="shared" si="3"/>
        <v>611</v>
      </c>
      <c r="P226" s="7">
        <v>1475</v>
      </c>
      <c r="Q226" s="8">
        <v>0</v>
      </c>
      <c r="R226" s="9">
        <v>64.099999999999994</v>
      </c>
      <c r="S226" s="6">
        <v>125</v>
      </c>
      <c r="T226" s="6">
        <v>37</v>
      </c>
      <c r="U226" s="6">
        <v>41</v>
      </c>
      <c r="V226" s="6">
        <v>45</v>
      </c>
      <c r="W226" s="6">
        <v>27</v>
      </c>
      <c r="X226" s="6">
        <v>10</v>
      </c>
      <c r="Y226" s="6">
        <v>2</v>
      </c>
      <c r="Z226" s="10">
        <v>5.27</v>
      </c>
      <c r="AA226" s="3"/>
      <c r="AB226" s="3"/>
      <c r="AC226" s="3"/>
      <c r="AD226" s="3" t="s">
        <v>1142</v>
      </c>
      <c r="AE226" s="11" t="s">
        <v>1169</v>
      </c>
    </row>
    <row r="227" spans="1:31" x14ac:dyDescent="0.25">
      <c r="A227" s="2" t="s">
        <v>1170</v>
      </c>
      <c r="B227" s="3" t="s">
        <v>34</v>
      </c>
      <c r="C227" s="3" t="s">
        <v>1134</v>
      </c>
      <c r="D227" s="4" t="s">
        <v>1171</v>
      </c>
      <c r="E227" s="3" t="s">
        <v>1172</v>
      </c>
      <c r="F227" s="3" t="s">
        <v>1173</v>
      </c>
      <c r="G227" s="4" t="s">
        <v>1174</v>
      </c>
      <c r="H227" s="3" t="s">
        <v>39</v>
      </c>
      <c r="I227" s="5">
        <v>46.006176000000004</v>
      </c>
      <c r="J227" s="5">
        <v>3.7990240000000002</v>
      </c>
      <c r="K227" s="6">
        <v>1079</v>
      </c>
      <c r="L227" s="3" t="s">
        <v>1170</v>
      </c>
      <c r="M227" s="7">
        <v>1051</v>
      </c>
      <c r="N227" s="7">
        <v>1160</v>
      </c>
      <c r="O227" s="7">
        <f t="shared" si="3"/>
        <v>109</v>
      </c>
      <c r="P227" s="7">
        <v>1120</v>
      </c>
      <c r="Q227" s="8">
        <v>0</v>
      </c>
      <c r="R227" s="9">
        <v>2.4</v>
      </c>
      <c r="S227" s="6">
        <v>10</v>
      </c>
      <c r="T227" s="6">
        <v>3</v>
      </c>
      <c r="U227" s="6">
        <v>4</v>
      </c>
      <c r="V227" s="6">
        <v>5</v>
      </c>
      <c r="W227" s="6">
        <v>1</v>
      </c>
      <c r="X227" s="6"/>
      <c r="Y227" s="6"/>
      <c r="Z227" s="10">
        <v>0.11</v>
      </c>
      <c r="AA227" s="3"/>
      <c r="AB227" s="3"/>
      <c r="AC227" s="3"/>
      <c r="AD227" s="3" t="s">
        <v>1175</v>
      </c>
      <c r="AE227" s="11" t="s">
        <v>1176</v>
      </c>
    </row>
    <row r="228" spans="1:31" x14ac:dyDescent="0.25">
      <c r="A228" s="2" t="s">
        <v>1162</v>
      </c>
      <c r="B228" s="3" t="s">
        <v>34</v>
      </c>
      <c r="C228" s="3" t="s">
        <v>1134</v>
      </c>
      <c r="D228" s="4" t="s">
        <v>1160</v>
      </c>
      <c r="E228" s="3" t="s">
        <v>1161</v>
      </c>
      <c r="F228" s="3" t="s">
        <v>1162</v>
      </c>
      <c r="G228" s="4" t="s">
        <v>1163</v>
      </c>
      <c r="H228" s="3" t="s">
        <v>39</v>
      </c>
      <c r="I228" s="5">
        <v>44.681443999999999</v>
      </c>
      <c r="J228" s="5">
        <v>2.8574269999999999</v>
      </c>
      <c r="K228" s="6">
        <v>1045</v>
      </c>
      <c r="L228" s="3" t="s">
        <v>1162</v>
      </c>
      <c r="M228" s="7">
        <v>1191</v>
      </c>
      <c r="N228" s="7">
        <v>1399</v>
      </c>
      <c r="O228" s="7">
        <f t="shared" si="3"/>
        <v>208</v>
      </c>
      <c r="P228" s="7">
        <v>1314</v>
      </c>
      <c r="Q228" s="8">
        <v>0</v>
      </c>
      <c r="R228" s="9">
        <v>8.5</v>
      </c>
      <c r="S228" s="6">
        <v>23</v>
      </c>
      <c r="T228" s="6">
        <v>10</v>
      </c>
      <c r="U228" s="6">
        <v>3</v>
      </c>
      <c r="V228" s="6">
        <v>6</v>
      </c>
      <c r="W228" s="6">
        <v>4</v>
      </c>
      <c r="X228" s="6">
        <v>2</v>
      </c>
      <c r="Y228" s="6">
        <v>8</v>
      </c>
      <c r="Z228" s="10">
        <v>4.42</v>
      </c>
      <c r="AA228" s="3"/>
      <c r="AB228" s="3"/>
      <c r="AC228" s="3"/>
      <c r="AD228" s="3" t="s">
        <v>1164</v>
      </c>
      <c r="AE228" s="11" t="s">
        <v>1177</v>
      </c>
    </row>
    <row r="229" spans="1:31" x14ac:dyDescent="0.25">
      <c r="A229" s="2" t="s">
        <v>1178</v>
      </c>
      <c r="B229" s="3" t="s">
        <v>34</v>
      </c>
      <c r="C229" s="3" t="s">
        <v>1134</v>
      </c>
      <c r="D229" s="4" t="s">
        <v>1179</v>
      </c>
      <c r="E229" s="3" t="s">
        <v>1180</v>
      </c>
      <c r="F229" s="3" t="s">
        <v>1181</v>
      </c>
      <c r="G229" s="4" t="s">
        <v>1182</v>
      </c>
      <c r="H229" s="3" t="s">
        <v>39</v>
      </c>
      <c r="I229" s="5">
        <v>44.490329000000003</v>
      </c>
      <c r="J229" s="5">
        <v>3.7399170000000002</v>
      </c>
      <c r="K229" s="6">
        <v>1067</v>
      </c>
      <c r="L229" s="3" t="s">
        <v>1183</v>
      </c>
      <c r="M229" s="7">
        <v>1360</v>
      </c>
      <c r="N229" s="7">
        <v>1570</v>
      </c>
      <c r="O229" s="7">
        <f t="shared" si="3"/>
        <v>210</v>
      </c>
      <c r="P229" s="7">
        <v>1466</v>
      </c>
      <c r="Q229" s="8">
        <v>0</v>
      </c>
      <c r="R229" s="9">
        <v>8.4</v>
      </c>
      <c r="S229" s="6">
        <v>17</v>
      </c>
      <c r="T229" s="6">
        <v>5</v>
      </c>
      <c r="U229" s="6">
        <v>1</v>
      </c>
      <c r="V229" s="6">
        <v>4</v>
      </c>
      <c r="W229" s="6">
        <v>4</v>
      </c>
      <c r="X229" s="6">
        <v>1</v>
      </c>
      <c r="Y229" s="6">
        <v>7</v>
      </c>
      <c r="Z229" s="10">
        <v>4.38</v>
      </c>
      <c r="AA229" s="3"/>
      <c r="AB229" s="3"/>
      <c r="AC229" s="3"/>
      <c r="AD229" s="3" t="s">
        <v>1184</v>
      </c>
      <c r="AE229" s="11" t="s">
        <v>1185</v>
      </c>
    </row>
    <row r="230" spans="1:31" x14ac:dyDescent="0.25">
      <c r="A230" s="2" t="s">
        <v>1186</v>
      </c>
      <c r="B230" s="3" t="s">
        <v>34</v>
      </c>
      <c r="C230" s="3" t="s">
        <v>1134</v>
      </c>
      <c r="D230" s="4" t="s">
        <v>1187</v>
      </c>
      <c r="E230" s="3" t="s">
        <v>1188</v>
      </c>
      <c r="F230" s="3" t="s">
        <v>1189</v>
      </c>
      <c r="G230" s="4" t="s">
        <v>1190</v>
      </c>
      <c r="H230" s="3" t="s">
        <v>39</v>
      </c>
      <c r="I230" s="5">
        <v>45.107917999999998</v>
      </c>
      <c r="J230" s="5">
        <v>2.775995</v>
      </c>
      <c r="K230" s="6">
        <v>1009</v>
      </c>
      <c r="L230" s="3" t="s">
        <v>1186</v>
      </c>
      <c r="M230" s="7">
        <v>1161</v>
      </c>
      <c r="N230" s="7">
        <v>1823</v>
      </c>
      <c r="O230" s="7">
        <f t="shared" si="3"/>
        <v>662</v>
      </c>
      <c r="P230" s="7">
        <v>1460</v>
      </c>
      <c r="Q230" s="8">
        <v>0</v>
      </c>
      <c r="R230" s="9">
        <v>44.2</v>
      </c>
      <c r="S230" s="6">
        <v>76</v>
      </c>
      <c r="T230" s="6">
        <v>19</v>
      </c>
      <c r="U230" s="6">
        <v>20</v>
      </c>
      <c r="V230" s="6">
        <v>23</v>
      </c>
      <c r="W230" s="6">
        <v>22</v>
      </c>
      <c r="X230" s="6">
        <v>9</v>
      </c>
      <c r="Y230" s="6">
        <v>2</v>
      </c>
      <c r="Z230" s="10">
        <v>2.69</v>
      </c>
      <c r="AA230" s="3"/>
      <c r="AB230" s="3"/>
      <c r="AC230" s="3"/>
      <c r="AD230" s="3" t="s">
        <v>1191</v>
      </c>
      <c r="AE230" s="11" t="s">
        <v>1192</v>
      </c>
    </row>
    <row r="231" spans="1:31" x14ac:dyDescent="0.25">
      <c r="A231" s="2" t="s">
        <v>1193</v>
      </c>
      <c r="B231" s="3" t="s">
        <v>34</v>
      </c>
      <c r="C231" s="3" t="s">
        <v>1134</v>
      </c>
      <c r="D231" s="4" t="s">
        <v>1135</v>
      </c>
      <c r="E231" s="3" t="s">
        <v>1194</v>
      </c>
      <c r="F231" s="3" t="s">
        <v>1195</v>
      </c>
      <c r="G231" s="4" t="s">
        <v>1196</v>
      </c>
      <c r="H231" s="3" t="s">
        <v>39</v>
      </c>
      <c r="I231" s="5">
        <v>45.542645399999998</v>
      </c>
      <c r="J231" s="5">
        <v>2.81668472</v>
      </c>
      <c r="K231" s="6">
        <v>1307</v>
      </c>
      <c r="L231" s="3" t="s">
        <v>1139</v>
      </c>
      <c r="M231" s="7">
        <v>1223</v>
      </c>
      <c r="N231" s="7">
        <v>1834</v>
      </c>
      <c r="O231" s="7">
        <f t="shared" si="3"/>
        <v>611</v>
      </c>
      <c r="P231" s="7">
        <v>1475</v>
      </c>
      <c r="Q231" s="8">
        <v>0</v>
      </c>
      <c r="R231" s="9">
        <v>64.099999999999994</v>
      </c>
      <c r="S231" s="6">
        <v>125</v>
      </c>
      <c r="T231" s="6">
        <v>37</v>
      </c>
      <c r="U231" s="6">
        <v>41</v>
      </c>
      <c r="V231" s="6">
        <v>45</v>
      </c>
      <c r="W231" s="6">
        <v>27</v>
      </c>
      <c r="X231" s="6">
        <v>10</v>
      </c>
      <c r="Y231" s="6">
        <v>2</v>
      </c>
      <c r="Z231" s="10">
        <v>0.13</v>
      </c>
      <c r="AA231" s="11" t="s">
        <v>1140</v>
      </c>
      <c r="AB231" s="3"/>
      <c r="AC231" s="11" t="s">
        <v>1197</v>
      </c>
      <c r="AD231" s="3" t="s">
        <v>1142</v>
      </c>
      <c r="AE231" s="11" t="s">
        <v>1198</v>
      </c>
    </row>
    <row r="232" spans="1:31" x14ac:dyDescent="0.25">
      <c r="A232" s="2" t="s">
        <v>1199</v>
      </c>
      <c r="B232" s="3" t="s">
        <v>34</v>
      </c>
      <c r="C232" s="3" t="s">
        <v>1134</v>
      </c>
      <c r="D232" s="4" t="s">
        <v>1200</v>
      </c>
      <c r="E232" s="3" t="s">
        <v>1201</v>
      </c>
      <c r="F232" s="3" t="s">
        <v>1199</v>
      </c>
      <c r="G232" s="4" t="s">
        <v>1202</v>
      </c>
      <c r="H232" s="3" t="s">
        <v>39</v>
      </c>
      <c r="I232" s="5">
        <v>44.913094999999998</v>
      </c>
      <c r="J232" s="5">
        <v>4.134093</v>
      </c>
      <c r="K232" s="6">
        <v>1326</v>
      </c>
      <c r="L232" s="3" t="s">
        <v>1199</v>
      </c>
      <c r="M232" s="7">
        <v>1354</v>
      </c>
      <c r="N232" s="7">
        <v>1681</v>
      </c>
      <c r="O232" s="7">
        <f t="shared" si="3"/>
        <v>327</v>
      </c>
      <c r="P232" s="7">
        <v>1569</v>
      </c>
      <c r="Q232" s="8">
        <v>0</v>
      </c>
      <c r="R232" s="9">
        <v>5.9</v>
      </c>
      <c r="S232" s="6">
        <v>17</v>
      </c>
      <c r="T232" s="6">
        <v>7</v>
      </c>
      <c r="U232" s="6">
        <v>11</v>
      </c>
      <c r="V232" s="6">
        <v>4</v>
      </c>
      <c r="W232" s="6">
        <v>1</v>
      </c>
      <c r="X232" s="6">
        <v>1</v>
      </c>
      <c r="Y232" s="6"/>
      <c r="Z232" s="10">
        <v>1.67</v>
      </c>
      <c r="AA232" s="3"/>
      <c r="AB232" s="3"/>
      <c r="AC232" s="3"/>
      <c r="AD232" s="3" t="s">
        <v>1203</v>
      </c>
      <c r="AE232" s="11" t="s">
        <v>1204</v>
      </c>
    </row>
    <row r="233" spans="1:31" x14ac:dyDescent="0.25">
      <c r="A233" s="2" t="s">
        <v>1205</v>
      </c>
      <c r="B233" s="3" t="s">
        <v>34</v>
      </c>
      <c r="C233" s="3" t="s">
        <v>1134</v>
      </c>
      <c r="D233" s="4" t="s">
        <v>1144</v>
      </c>
      <c r="E233" s="3" t="s">
        <v>1206</v>
      </c>
      <c r="F233" s="3" t="s">
        <v>1207</v>
      </c>
      <c r="G233" s="4" t="s">
        <v>1208</v>
      </c>
      <c r="H233" s="3" t="s">
        <v>1209</v>
      </c>
      <c r="I233" s="5">
        <v>45.353369999999998</v>
      </c>
      <c r="J233" s="5">
        <v>4.4262100000000002</v>
      </c>
      <c r="K233" s="6">
        <v>1025</v>
      </c>
      <c r="L233" s="3"/>
      <c r="M233" s="7"/>
      <c r="N233" s="7"/>
      <c r="O233" s="7" t="str">
        <f t="shared" si="3"/>
        <v/>
      </c>
      <c r="P233" s="7"/>
      <c r="Q233" s="8"/>
      <c r="R233" s="9"/>
      <c r="S233" s="6"/>
      <c r="T233" s="6"/>
      <c r="U233" s="6"/>
      <c r="V233" s="6"/>
      <c r="W233" s="6"/>
      <c r="X233" s="6"/>
      <c r="Y233" s="6"/>
      <c r="Z233" s="10"/>
      <c r="AA233" s="3"/>
      <c r="AB233" s="3"/>
      <c r="AC233" s="3"/>
      <c r="AD233" s="3"/>
      <c r="AE233" s="11" t="s">
        <v>1210</v>
      </c>
    </row>
    <row r="234" spans="1:31" x14ac:dyDescent="0.25">
      <c r="A234" s="2" t="s">
        <v>1211</v>
      </c>
      <c r="B234" s="3" t="s">
        <v>34</v>
      </c>
      <c r="C234" s="3" t="s">
        <v>1134</v>
      </c>
      <c r="D234" s="4"/>
      <c r="E234" s="3" t="s">
        <v>1212</v>
      </c>
      <c r="F234" s="3" t="s">
        <v>1213</v>
      </c>
      <c r="G234" s="4" t="s">
        <v>1214</v>
      </c>
      <c r="H234" s="3" t="s">
        <v>39</v>
      </c>
      <c r="I234" s="5">
        <v>44.08184</v>
      </c>
      <c r="J234" s="5">
        <v>3.6402299999999999</v>
      </c>
      <c r="K234" s="6">
        <v>368</v>
      </c>
      <c r="L234" s="3" t="s">
        <v>1215</v>
      </c>
      <c r="M234" s="7">
        <v>1286</v>
      </c>
      <c r="N234" s="7">
        <v>1468</v>
      </c>
      <c r="O234" s="7">
        <f t="shared" si="3"/>
        <v>182</v>
      </c>
      <c r="P234" s="7">
        <v>1404</v>
      </c>
      <c r="Q234" s="8">
        <v>0</v>
      </c>
      <c r="R234" s="9">
        <v>9.1</v>
      </c>
      <c r="S234" s="6">
        <v>33</v>
      </c>
      <c r="T234" s="6">
        <v>12</v>
      </c>
      <c r="U234" s="6">
        <v>7</v>
      </c>
      <c r="V234" s="6">
        <v>5</v>
      </c>
      <c r="W234" s="6">
        <v>4</v>
      </c>
      <c r="X234" s="6"/>
      <c r="Y234" s="6">
        <v>17</v>
      </c>
      <c r="Z234" s="10">
        <v>7.85</v>
      </c>
      <c r="AA234" s="3"/>
      <c r="AB234" s="3"/>
      <c r="AC234" s="3"/>
      <c r="AD234" s="3" t="s">
        <v>1216</v>
      </c>
      <c r="AE234" s="11" t="s">
        <v>1217</v>
      </c>
    </row>
    <row r="235" spans="1:31" x14ac:dyDescent="0.25">
      <c r="A235" s="2" t="s">
        <v>1218</v>
      </c>
      <c r="B235" s="3" t="s">
        <v>34</v>
      </c>
      <c r="C235" s="3" t="s">
        <v>1134</v>
      </c>
      <c r="D235" s="4" t="s">
        <v>1135</v>
      </c>
      <c r="E235" s="3" t="s">
        <v>1219</v>
      </c>
      <c r="F235" s="3" t="s">
        <v>1220</v>
      </c>
      <c r="G235" s="4" t="s">
        <v>1221</v>
      </c>
      <c r="H235" s="3" t="s">
        <v>39</v>
      </c>
      <c r="I235" s="5">
        <v>45.528072999999999</v>
      </c>
      <c r="J235" s="5">
        <v>3.9103590000000001</v>
      </c>
      <c r="K235" s="6">
        <v>956</v>
      </c>
      <c r="L235" s="3" t="s">
        <v>1222</v>
      </c>
      <c r="M235" s="7">
        <v>1248</v>
      </c>
      <c r="N235" s="7">
        <v>1384</v>
      </c>
      <c r="O235" s="7">
        <f t="shared" si="3"/>
        <v>136</v>
      </c>
      <c r="P235" s="7">
        <v>1293</v>
      </c>
      <c r="Q235" s="8">
        <v>0</v>
      </c>
      <c r="R235" s="9">
        <v>5.0999999999999996</v>
      </c>
      <c r="S235" s="6">
        <v>17</v>
      </c>
      <c r="T235" s="6">
        <v>5</v>
      </c>
      <c r="U235" s="6">
        <v>8</v>
      </c>
      <c r="V235" s="6">
        <v>6</v>
      </c>
      <c r="W235" s="6">
        <v>3</v>
      </c>
      <c r="X235" s="6"/>
      <c r="Y235" s="6"/>
      <c r="Z235" s="10">
        <v>5.17</v>
      </c>
      <c r="AA235" s="3"/>
      <c r="AB235" s="3"/>
      <c r="AC235" s="3"/>
      <c r="AD235" s="3" t="s">
        <v>1223</v>
      </c>
      <c r="AE235" s="11" t="s">
        <v>1224</v>
      </c>
    </row>
    <row r="236" spans="1:31" x14ac:dyDescent="0.25">
      <c r="A236" s="2" t="s">
        <v>1225</v>
      </c>
      <c r="B236" s="3" t="s">
        <v>34</v>
      </c>
      <c r="C236" s="3" t="s">
        <v>1226</v>
      </c>
      <c r="D236" s="4" t="s">
        <v>1227</v>
      </c>
      <c r="E236" s="3" t="s">
        <v>1228</v>
      </c>
      <c r="F236" s="3" t="s">
        <v>1229</v>
      </c>
      <c r="G236" s="4" t="s">
        <v>1230</v>
      </c>
      <c r="H236" s="3" t="s">
        <v>39</v>
      </c>
      <c r="I236" s="5">
        <v>42.882300000000001</v>
      </c>
      <c r="J236" s="5">
        <v>-0.39929999999999999</v>
      </c>
      <c r="K236" s="6">
        <v>1247</v>
      </c>
      <c r="L236" s="3" t="s">
        <v>1225</v>
      </c>
      <c r="M236" s="7">
        <v>1775</v>
      </c>
      <c r="N236" s="7">
        <v>2038</v>
      </c>
      <c r="O236" s="7">
        <f t="shared" si="3"/>
        <v>263</v>
      </c>
      <c r="P236" s="7">
        <v>1942</v>
      </c>
      <c r="Q236" s="8">
        <v>0.14599999999999999</v>
      </c>
      <c r="R236" s="9">
        <v>7.9</v>
      </c>
      <c r="S236" s="6">
        <v>23</v>
      </c>
      <c r="T236" s="6">
        <v>8</v>
      </c>
      <c r="U236" s="6">
        <v>4</v>
      </c>
      <c r="V236" s="6">
        <v>14</v>
      </c>
      <c r="W236" s="6">
        <v>3</v>
      </c>
      <c r="X236" s="6">
        <v>1</v>
      </c>
      <c r="Y236" s="6">
        <v>1</v>
      </c>
      <c r="Z236" s="10">
        <v>1.32</v>
      </c>
      <c r="AA236" s="3"/>
      <c r="AB236" s="3"/>
      <c r="AC236" s="3"/>
      <c r="AD236" s="3" t="s">
        <v>1231</v>
      </c>
      <c r="AE236" s="11" t="s">
        <v>1232</v>
      </c>
    </row>
    <row r="237" spans="1:31" x14ac:dyDescent="0.25">
      <c r="A237" s="2" t="s">
        <v>1233</v>
      </c>
      <c r="B237" s="3" t="s">
        <v>34</v>
      </c>
      <c r="C237" s="3" t="s">
        <v>1226</v>
      </c>
      <c r="D237" s="4" t="s">
        <v>1234</v>
      </c>
      <c r="E237" s="3" t="s">
        <v>1235</v>
      </c>
      <c r="F237" s="3" t="s">
        <v>1236</v>
      </c>
      <c r="G237" s="4" t="s">
        <v>1237</v>
      </c>
      <c r="H237" s="3" t="s">
        <v>39</v>
      </c>
      <c r="I237" s="5">
        <v>42.734566000000001</v>
      </c>
      <c r="J237" s="5">
        <v>1.9856940000000001</v>
      </c>
      <c r="K237" s="6">
        <v>1952</v>
      </c>
      <c r="L237" s="3" t="s">
        <v>1236</v>
      </c>
      <c r="M237" s="7">
        <v>1496</v>
      </c>
      <c r="N237" s="7">
        <v>2064</v>
      </c>
      <c r="O237" s="7">
        <f t="shared" si="3"/>
        <v>568</v>
      </c>
      <c r="P237" s="7">
        <v>1740</v>
      </c>
      <c r="Q237" s="8">
        <v>9.0999999999999998E-2</v>
      </c>
      <c r="R237" s="9">
        <v>12.1</v>
      </c>
      <c r="S237" s="6">
        <v>19</v>
      </c>
      <c r="T237" s="6">
        <v>7</v>
      </c>
      <c r="U237" s="6">
        <v>4</v>
      </c>
      <c r="V237" s="6">
        <v>4</v>
      </c>
      <c r="W237" s="6">
        <v>6</v>
      </c>
      <c r="X237" s="6">
        <v>2</v>
      </c>
      <c r="Y237" s="6">
        <v>3</v>
      </c>
      <c r="Z237" s="10">
        <v>0.19</v>
      </c>
      <c r="AA237" s="3"/>
      <c r="AB237" s="3"/>
      <c r="AC237" s="3"/>
      <c r="AD237" s="3" t="s">
        <v>1238</v>
      </c>
      <c r="AE237" s="11" t="s">
        <v>1239</v>
      </c>
    </row>
    <row r="238" spans="1:31" x14ac:dyDescent="0.25">
      <c r="A238" s="2" t="s">
        <v>1240</v>
      </c>
      <c r="B238" s="3" t="s">
        <v>34</v>
      </c>
      <c r="C238" s="3" t="s">
        <v>1226</v>
      </c>
      <c r="D238" s="4" t="s">
        <v>1234</v>
      </c>
      <c r="E238" s="3" t="s">
        <v>1235</v>
      </c>
      <c r="F238" s="3" t="s">
        <v>1241</v>
      </c>
      <c r="G238" s="4" t="s">
        <v>1242</v>
      </c>
      <c r="H238" s="3" t="s">
        <v>39</v>
      </c>
      <c r="I238" s="5">
        <v>42.699351299999996</v>
      </c>
      <c r="J238" s="5">
        <v>1.81259459</v>
      </c>
      <c r="K238" s="6">
        <v>1390</v>
      </c>
      <c r="L238" s="3" t="s">
        <v>1240</v>
      </c>
      <c r="M238" s="7">
        <v>1376</v>
      </c>
      <c r="N238" s="7">
        <v>2345</v>
      </c>
      <c r="O238" s="7">
        <f t="shared" si="3"/>
        <v>969</v>
      </c>
      <c r="P238" s="7">
        <v>1847</v>
      </c>
      <c r="Q238" s="8">
        <v>0.24299999999999999</v>
      </c>
      <c r="R238" s="9">
        <v>71.5</v>
      </c>
      <c r="S238" s="6">
        <v>88</v>
      </c>
      <c r="T238" s="6">
        <v>24</v>
      </c>
      <c r="U238" s="6">
        <v>22</v>
      </c>
      <c r="V238" s="6">
        <v>37</v>
      </c>
      <c r="W238" s="6">
        <v>17</v>
      </c>
      <c r="X238" s="6">
        <v>7</v>
      </c>
      <c r="Y238" s="6">
        <v>5</v>
      </c>
      <c r="Z238" s="10">
        <v>0.01</v>
      </c>
      <c r="AA238" s="11" t="s">
        <v>1243</v>
      </c>
      <c r="AB238" s="3" t="s">
        <v>85</v>
      </c>
      <c r="AC238" s="11" t="s">
        <v>1244</v>
      </c>
      <c r="AD238" s="3" t="s">
        <v>1245</v>
      </c>
      <c r="AE238" s="11" t="s">
        <v>1246</v>
      </c>
    </row>
    <row r="239" spans="1:31" x14ac:dyDescent="0.25">
      <c r="A239" s="2" t="s">
        <v>1247</v>
      </c>
      <c r="B239" s="3" t="s">
        <v>34</v>
      </c>
      <c r="C239" s="3" t="s">
        <v>1226</v>
      </c>
      <c r="D239" s="4" t="s">
        <v>1248</v>
      </c>
      <c r="E239" s="3" t="s">
        <v>1249</v>
      </c>
      <c r="F239" s="3" t="s">
        <v>1247</v>
      </c>
      <c r="G239" s="4" t="s">
        <v>1250</v>
      </c>
      <c r="H239" s="3" t="s">
        <v>39</v>
      </c>
      <c r="I239" s="5">
        <v>42.896419999999999</v>
      </c>
      <c r="J239" s="5">
        <v>6.2839999999999993E-2</v>
      </c>
      <c r="K239" s="6">
        <v>1209</v>
      </c>
      <c r="L239" s="3" t="s">
        <v>1251</v>
      </c>
      <c r="M239" s="7">
        <v>1459</v>
      </c>
      <c r="N239" s="7">
        <v>2464</v>
      </c>
      <c r="O239" s="7">
        <f t="shared" si="3"/>
        <v>1005</v>
      </c>
      <c r="P239" s="7">
        <v>1853</v>
      </c>
      <c r="Q239" s="8">
        <v>0.27600000000000002</v>
      </c>
      <c r="R239" s="9">
        <v>54.9</v>
      </c>
      <c r="S239" s="6">
        <v>81</v>
      </c>
      <c r="T239" s="6">
        <v>30</v>
      </c>
      <c r="U239" s="6">
        <v>17</v>
      </c>
      <c r="V239" s="6">
        <v>44</v>
      </c>
      <c r="W239" s="6">
        <v>15</v>
      </c>
      <c r="X239" s="6">
        <v>4</v>
      </c>
      <c r="Y239" s="6">
        <v>1</v>
      </c>
      <c r="Z239" s="10">
        <v>1.06</v>
      </c>
      <c r="AA239" s="11" t="s">
        <v>1252</v>
      </c>
      <c r="AB239" s="3"/>
      <c r="AC239" s="3"/>
      <c r="AD239" s="3" t="s">
        <v>1253</v>
      </c>
      <c r="AE239" s="3"/>
    </row>
    <row r="240" spans="1:31" x14ac:dyDescent="0.25">
      <c r="A240" s="2" t="s">
        <v>1254</v>
      </c>
      <c r="B240" s="3" t="s">
        <v>34</v>
      </c>
      <c r="C240" s="3" t="s">
        <v>1226</v>
      </c>
      <c r="D240" s="4" t="s">
        <v>1255</v>
      </c>
      <c r="E240" s="3" t="s">
        <v>1256</v>
      </c>
      <c r="F240" s="3" t="s">
        <v>1257</v>
      </c>
      <c r="G240" s="4" t="s">
        <v>1258</v>
      </c>
      <c r="H240" s="3" t="s">
        <v>39</v>
      </c>
      <c r="I240" s="5">
        <v>42.50949</v>
      </c>
      <c r="J240" s="5">
        <v>2.0733899999999998</v>
      </c>
      <c r="K240" s="6">
        <v>1689</v>
      </c>
      <c r="L240" s="3" t="s">
        <v>1259</v>
      </c>
      <c r="M240" s="7">
        <v>1715</v>
      </c>
      <c r="N240" s="7">
        <v>2215</v>
      </c>
      <c r="O240" s="7">
        <f t="shared" si="3"/>
        <v>500</v>
      </c>
      <c r="P240" s="7">
        <v>2017</v>
      </c>
      <c r="Q240" s="8">
        <v>0.56599999999999995</v>
      </c>
      <c r="R240" s="9">
        <v>37.5</v>
      </c>
      <c r="S240" s="6">
        <v>98</v>
      </c>
      <c r="T240" s="6">
        <v>25</v>
      </c>
      <c r="U240" s="6">
        <v>45</v>
      </c>
      <c r="V240" s="6">
        <v>25</v>
      </c>
      <c r="W240" s="6">
        <v>14</v>
      </c>
      <c r="X240" s="6">
        <v>14</v>
      </c>
      <c r="Y240" s="6"/>
      <c r="Z240" s="10">
        <v>1.72</v>
      </c>
      <c r="AA240" s="11" t="s">
        <v>1260</v>
      </c>
      <c r="AB240" s="3"/>
      <c r="AC240" s="3"/>
      <c r="AD240" s="3" t="s">
        <v>1261</v>
      </c>
      <c r="AE240" s="11" t="s">
        <v>1262</v>
      </c>
    </row>
    <row r="241" spans="1:31" x14ac:dyDescent="0.25">
      <c r="A241" s="2" t="s">
        <v>1263</v>
      </c>
      <c r="B241" s="3" t="s">
        <v>34</v>
      </c>
      <c r="C241" s="3" t="s">
        <v>1226</v>
      </c>
      <c r="D241" s="4"/>
      <c r="E241" s="3" t="s">
        <v>1264</v>
      </c>
      <c r="F241" s="3" t="s">
        <v>1263</v>
      </c>
      <c r="G241" s="4" t="s">
        <v>1265</v>
      </c>
      <c r="H241" s="3" t="s">
        <v>39</v>
      </c>
      <c r="I241" s="5">
        <v>42.791238999999997</v>
      </c>
      <c r="J241" s="5">
        <v>1.924747</v>
      </c>
      <c r="K241" s="6">
        <v>1303</v>
      </c>
      <c r="L241" s="3" t="s">
        <v>1263</v>
      </c>
      <c r="M241" s="7">
        <v>1513</v>
      </c>
      <c r="N241" s="7">
        <v>1776</v>
      </c>
      <c r="O241" s="7">
        <f t="shared" si="3"/>
        <v>263</v>
      </c>
      <c r="P241" s="7">
        <v>1647</v>
      </c>
      <c r="Q241" s="8">
        <v>0</v>
      </c>
      <c r="R241" s="9">
        <v>5.9</v>
      </c>
      <c r="S241" s="6">
        <v>13</v>
      </c>
      <c r="T241" s="6">
        <v>7</v>
      </c>
      <c r="U241" s="6">
        <v>2</v>
      </c>
      <c r="V241" s="6">
        <v>6</v>
      </c>
      <c r="W241" s="6">
        <v>2</v>
      </c>
      <c r="X241" s="6">
        <v>3</v>
      </c>
      <c r="Y241" s="6"/>
      <c r="Z241" s="10">
        <v>1.57</v>
      </c>
      <c r="AA241" s="3"/>
      <c r="AB241" s="3"/>
      <c r="AC241" s="3"/>
      <c r="AD241" s="3" t="s">
        <v>1266</v>
      </c>
      <c r="AE241" s="11" t="s">
        <v>1267</v>
      </c>
    </row>
    <row r="242" spans="1:31" x14ac:dyDescent="0.25">
      <c r="A242" s="2" t="s">
        <v>1268</v>
      </c>
      <c r="B242" s="3" t="s">
        <v>158</v>
      </c>
      <c r="C242" s="3" t="s">
        <v>1226</v>
      </c>
      <c r="D242" s="4" t="s">
        <v>1248</v>
      </c>
      <c r="E242" s="3" t="s">
        <v>1269</v>
      </c>
      <c r="F242" s="3" t="s">
        <v>1270</v>
      </c>
      <c r="G242" s="4" t="s">
        <v>1271</v>
      </c>
      <c r="H242" s="3" t="s">
        <v>39</v>
      </c>
      <c r="I242" s="5">
        <v>42.825569999999999</v>
      </c>
      <c r="J242" s="5">
        <v>0.26663999999999999</v>
      </c>
      <c r="K242" s="6">
        <v>1516</v>
      </c>
      <c r="L242" s="3" t="s">
        <v>1272</v>
      </c>
      <c r="M242" s="7">
        <v>1595</v>
      </c>
      <c r="N242" s="7">
        <v>2475</v>
      </c>
      <c r="O242" s="7">
        <f t="shared" si="3"/>
        <v>880</v>
      </c>
      <c r="P242" s="7">
        <v>2086</v>
      </c>
      <c r="Q242" s="8">
        <v>0.65100000000000002</v>
      </c>
      <c r="R242" s="9">
        <v>75.8</v>
      </c>
      <c r="S242" s="6">
        <v>120</v>
      </c>
      <c r="T242" s="6">
        <v>27</v>
      </c>
      <c r="U242" s="6">
        <v>11</v>
      </c>
      <c r="V242" s="6">
        <v>56</v>
      </c>
      <c r="W242" s="6">
        <v>26</v>
      </c>
      <c r="X242" s="6">
        <v>17</v>
      </c>
      <c r="Y242" s="6">
        <v>10</v>
      </c>
      <c r="Z242" s="10">
        <v>0.31</v>
      </c>
      <c r="AA242" s="11" t="s">
        <v>1273</v>
      </c>
      <c r="AB242" s="3" t="s">
        <v>103</v>
      </c>
      <c r="AC242" s="3"/>
      <c r="AD242" s="3" t="s">
        <v>1274</v>
      </c>
      <c r="AE242" s="3"/>
    </row>
    <row r="243" spans="1:31" x14ac:dyDescent="0.25">
      <c r="A243" s="2" t="s">
        <v>1275</v>
      </c>
      <c r="B243" s="3" t="s">
        <v>34</v>
      </c>
      <c r="C243" s="3" t="s">
        <v>1226</v>
      </c>
      <c r="D243" s="4" t="s">
        <v>1255</v>
      </c>
      <c r="E243" s="3" t="s">
        <v>1276</v>
      </c>
      <c r="F243" s="3" t="s">
        <v>1277</v>
      </c>
      <c r="G243" s="4" t="s">
        <v>1278</v>
      </c>
      <c r="H243" s="3" t="s">
        <v>39</v>
      </c>
      <c r="I243" s="5">
        <v>42.512</v>
      </c>
      <c r="J243" s="5">
        <v>2.0354999999999999</v>
      </c>
      <c r="K243" s="6">
        <v>1824</v>
      </c>
      <c r="L243" s="3" t="s">
        <v>1259</v>
      </c>
      <c r="M243" s="7">
        <v>1715</v>
      </c>
      <c r="N243" s="7">
        <v>2215</v>
      </c>
      <c r="O243" s="7">
        <f t="shared" si="3"/>
        <v>500</v>
      </c>
      <c r="P243" s="7">
        <v>2017</v>
      </c>
      <c r="Q243" s="8">
        <v>0.56599999999999995</v>
      </c>
      <c r="R243" s="9">
        <v>37.5</v>
      </c>
      <c r="S243" s="6">
        <v>98</v>
      </c>
      <c r="T243" s="6">
        <v>25</v>
      </c>
      <c r="U243" s="6">
        <v>45</v>
      </c>
      <c r="V243" s="6">
        <v>25</v>
      </c>
      <c r="W243" s="6">
        <v>14</v>
      </c>
      <c r="X243" s="6">
        <v>14</v>
      </c>
      <c r="Y243" s="6"/>
      <c r="Z243" s="10">
        <v>0.96</v>
      </c>
      <c r="AA243" s="11" t="s">
        <v>1279</v>
      </c>
      <c r="AB243" s="3"/>
      <c r="AC243" s="11" t="s">
        <v>1280</v>
      </c>
      <c r="AD243" s="3" t="s">
        <v>1261</v>
      </c>
      <c r="AE243" s="11" t="s">
        <v>1281</v>
      </c>
    </row>
    <row r="244" spans="1:31" x14ac:dyDescent="0.25">
      <c r="A244" s="2" t="s">
        <v>1282</v>
      </c>
      <c r="B244" s="3" t="s">
        <v>34</v>
      </c>
      <c r="C244" s="3" t="s">
        <v>1226</v>
      </c>
      <c r="D244" s="4" t="s">
        <v>1255</v>
      </c>
      <c r="E244" s="3" t="s">
        <v>1256</v>
      </c>
      <c r="F244" s="3" t="s">
        <v>1282</v>
      </c>
      <c r="G244" s="4" t="s">
        <v>1283</v>
      </c>
      <c r="H244" s="3" t="s">
        <v>39</v>
      </c>
      <c r="I244" s="5">
        <v>42.613990000000001</v>
      </c>
      <c r="J244" s="5">
        <v>2.1078039999999998</v>
      </c>
      <c r="K244" s="6">
        <v>1495</v>
      </c>
      <c r="L244" s="3" t="s">
        <v>1282</v>
      </c>
      <c r="M244" s="7">
        <v>1736</v>
      </c>
      <c r="N244" s="7">
        <v>2305</v>
      </c>
      <c r="O244" s="7">
        <f t="shared" si="3"/>
        <v>569</v>
      </c>
      <c r="P244" s="7">
        <v>2008</v>
      </c>
      <c r="Q244" s="8">
        <v>0.52200000000000002</v>
      </c>
      <c r="R244" s="9">
        <v>17.7</v>
      </c>
      <c r="S244" s="6">
        <v>33</v>
      </c>
      <c r="T244" s="6">
        <v>7</v>
      </c>
      <c r="U244" s="6">
        <v>11</v>
      </c>
      <c r="V244" s="6">
        <v>10</v>
      </c>
      <c r="W244" s="6">
        <v>11</v>
      </c>
      <c r="X244" s="6">
        <v>1</v>
      </c>
      <c r="Y244" s="6"/>
      <c r="Z244" s="10">
        <v>3.22</v>
      </c>
      <c r="AA244" s="3"/>
      <c r="AB244" s="3"/>
      <c r="AC244" s="3"/>
      <c r="AD244" s="3" t="s">
        <v>1284</v>
      </c>
      <c r="AE244" s="11" t="s">
        <v>1285</v>
      </c>
    </row>
    <row r="245" spans="1:31" x14ac:dyDescent="0.25">
      <c r="A245" s="2" t="s">
        <v>1286</v>
      </c>
      <c r="B245" s="3" t="s">
        <v>34</v>
      </c>
      <c r="C245" s="3" t="s">
        <v>1226</v>
      </c>
      <c r="D245" s="4" t="s">
        <v>1248</v>
      </c>
      <c r="E245" s="3" t="s">
        <v>1249</v>
      </c>
      <c r="F245" s="3" t="s">
        <v>1287</v>
      </c>
      <c r="G245" s="4" t="s">
        <v>1288</v>
      </c>
      <c r="H245" s="3" t="s">
        <v>39</v>
      </c>
      <c r="I245" s="5">
        <v>42.781281999999997</v>
      </c>
      <c r="J245" s="5">
        <v>3.4960999999999999E-2</v>
      </c>
      <c r="K245" s="6">
        <v>1155</v>
      </c>
      <c r="L245" s="3" t="s">
        <v>1287</v>
      </c>
      <c r="M245" s="7">
        <v>1820</v>
      </c>
      <c r="N245" s="7">
        <v>2284</v>
      </c>
      <c r="O245" s="7">
        <f t="shared" si="3"/>
        <v>464</v>
      </c>
      <c r="P245" s="7">
        <v>2020</v>
      </c>
      <c r="Q245" s="8">
        <v>0.60899999999999999</v>
      </c>
      <c r="R245" s="9">
        <v>19.600000000000001</v>
      </c>
      <c r="S245" s="6">
        <v>34</v>
      </c>
      <c r="T245" s="6">
        <v>8</v>
      </c>
      <c r="U245" s="6">
        <v>12</v>
      </c>
      <c r="V245" s="6">
        <v>9</v>
      </c>
      <c r="W245" s="6">
        <v>10</v>
      </c>
      <c r="X245" s="6">
        <v>3</v>
      </c>
      <c r="Y245" s="6"/>
      <c r="Z245" s="10">
        <v>7.67</v>
      </c>
      <c r="AA245" s="3"/>
      <c r="AB245" s="3"/>
      <c r="AC245" s="3"/>
      <c r="AD245" s="3" t="s">
        <v>1289</v>
      </c>
      <c r="AE245" s="11" t="s">
        <v>1290</v>
      </c>
    </row>
    <row r="246" spans="1:31" x14ac:dyDescent="0.25">
      <c r="A246" s="2" t="s">
        <v>1291</v>
      </c>
      <c r="B246" s="3" t="s">
        <v>34</v>
      </c>
      <c r="C246" s="3" t="s">
        <v>1226</v>
      </c>
      <c r="D246" s="4" t="s">
        <v>1234</v>
      </c>
      <c r="E246" s="3" t="s">
        <v>1292</v>
      </c>
      <c r="F246" s="3" t="s">
        <v>1293</v>
      </c>
      <c r="G246" s="4" t="s">
        <v>1294</v>
      </c>
      <c r="H246" s="3" t="s">
        <v>39</v>
      </c>
      <c r="I246" s="5">
        <v>42.769730000000003</v>
      </c>
      <c r="J246" s="5">
        <v>1.54573</v>
      </c>
      <c r="K246" s="6">
        <v>1114</v>
      </c>
      <c r="L246" s="3" t="s">
        <v>1295</v>
      </c>
      <c r="M246" s="7">
        <v>1483</v>
      </c>
      <c r="N246" s="7">
        <v>1825</v>
      </c>
      <c r="O246" s="7">
        <f t="shared" si="3"/>
        <v>342</v>
      </c>
      <c r="P246" s="7">
        <v>1673</v>
      </c>
      <c r="Q246" s="8">
        <v>0</v>
      </c>
      <c r="R246" s="9">
        <v>4.8</v>
      </c>
      <c r="S246" s="6">
        <v>15</v>
      </c>
      <c r="T246" s="6">
        <v>5</v>
      </c>
      <c r="U246" s="6">
        <v>3</v>
      </c>
      <c r="V246" s="6">
        <v>4</v>
      </c>
      <c r="W246" s="6">
        <v>5</v>
      </c>
      <c r="X246" s="6">
        <v>1</v>
      </c>
      <c r="Y246" s="6">
        <v>2</v>
      </c>
      <c r="Z246" s="10">
        <v>4.1100000000000003</v>
      </c>
      <c r="AA246" s="3"/>
      <c r="AB246" s="3"/>
      <c r="AC246" s="3"/>
      <c r="AD246" s="3" t="s">
        <v>1296</v>
      </c>
      <c r="AE246" s="11" t="s">
        <v>1297</v>
      </c>
    </row>
    <row r="247" spans="1:31" x14ac:dyDescent="0.25">
      <c r="A247" s="2" t="s">
        <v>1298</v>
      </c>
      <c r="B247" s="3" t="s">
        <v>34</v>
      </c>
      <c r="C247" s="3" t="s">
        <v>1226</v>
      </c>
      <c r="D247" s="4" t="s">
        <v>1227</v>
      </c>
      <c r="E247" s="3" t="s">
        <v>1228</v>
      </c>
      <c r="F247" s="3" t="s">
        <v>1299</v>
      </c>
      <c r="G247" s="4" t="s">
        <v>1300</v>
      </c>
      <c r="H247" s="3" t="s">
        <v>39</v>
      </c>
      <c r="I247" s="5">
        <v>42.968629999999997</v>
      </c>
      <c r="J247" s="5">
        <v>-0.37026999999999999</v>
      </c>
      <c r="K247" s="6">
        <v>902</v>
      </c>
      <c r="L247" s="3" t="s">
        <v>1301</v>
      </c>
      <c r="M247" s="7">
        <v>1353</v>
      </c>
      <c r="N247" s="7">
        <v>2454</v>
      </c>
      <c r="O247" s="7">
        <f t="shared" si="3"/>
        <v>1101</v>
      </c>
      <c r="P247" s="7">
        <v>1704</v>
      </c>
      <c r="Q247" s="8">
        <v>0.188</v>
      </c>
      <c r="R247" s="9">
        <v>29.6</v>
      </c>
      <c r="S247" s="6">
        <v>65</v>
      </c>
      <c r="T247" s="6">
        <v>12</v>
      </c>
      <c r="U247" s="6">
        <v>16</v>
      </c>
      <c r="V247" s="6">
        <v>21</v>
      </c>
      <c r="W247" s="6">
        <v>24</v>
      </c>
      <c r="X247" s="6">
        <v>3</v>
      </c>
      <c r="Y247" s="6">
        <v>1</v>
      </c>
      <c r="Z247" s="10">
        <v>2.59</v>
      </c>
      <c r="AA247" s="3"/>
      <c r="AB247" s="3"/>
      <c r="AC247" s="3"/>
      <c r="AD247" s="3" t="s">
        <v>1302</v>
      </c>
      <c r="AE247" s="11" t="s">
        <v>1303</v>
      </c>
    </row>
    <row r="248" spans="1:31" x14ac:dyDescent="0.25">
      <c r="A248" s="2" t="s">
        <v>1251</v>
      </c>
      <c r="B248" s="3" t="s">
        <v>34</v>
      </c>
      <c r="C248" s="3" t="s">
        <v>1226</v>
      </c>
      <c r="D248" s="4" t="s">
        <v>1248</v>
      </c>
      <c r="E248" s="3" t="s">
        <v>1304</v>
      </c>
      <c r="F248" s="3" t="s">
        <v>1305</v>
      </c>
      <c r="G248" s="4" t="s">
        <v>1306</v>
      </c>
      <c r="H248" s="3" t="s">
        <v>39</v>
      </c>
      <c r="I248" s="5">
        <v>42.918999999999997</v>
      </c>
      <c r="J248" s="5">
        <v>0.1774</v>
      </c>
      <c r="K248" s="6">
        <v>1955</v>
      </c>
      <c r="L248" s="3" t="s">
        <v>1251</v>
      </c>
      <c r="M248" s="7">
        <v>1459</v>
      </c>
      <c r="N248" s="7">
        <v>2464</v>
      </c>
      <c r="O248" s="7">
        <f t="shared" si="3"/>
        <v>1005</v>
      </c>
      <c r="P248" s="7">
        <v>1853</v>
      </c>
      <c r="Q248" s="8">
        <v>0.27600000000000002</v>
      </c>
      <c r="R248" s="9">
        <v>54.9</v>
      </c>
      <c r="S248" s="6">
        <v>81</v>
      </c>
      <c r="T248" s="6">
        <v>30</v>
      </c>
      <c r="U248" s="6">
        <v>17</v>
      </c>
      <c r="V248" s="6">
        <v>44</v>
      </c>
      <c r="W248" s="6">
        <v>15</v>
      </c>
      <c r="X248" s="6">
        <v>4</v>
      </c>
      <c r="Y248" s="6">
        <v>1</v>
      </c>
      <c r="Z248" s="10">
        <v>0.38</v>
      </c>
      <c r="AA248" s="11" t="s">
        <v>1252</v>
      </c>
      <c r="AB248" s="3"/>
      <c r="AC248" s="11" t="s">
        <v>1307</v>
      </c>
      <c r="AD248" s="3" t="s">
        <v>1253</v>
      </c>
      <c r="AE248" s="11" t="s">
        <v>1308</v>
      </c>
    </row>
    <row r="249" spans="1:31" x14ac:dyDescent="0.25">
      <c r="A249" s="2" t="s">
        <v>1309</v>
      </c>
      <c r="B249" s="3" t="s">
        <v>34</v>
      </c>
      <c r="C249" s="3" t="s">
        <v>1226</v>
      </c>
      <c r="D249" s="4" t="s">
        <v>1234</v>
      </c>
      <c r="E249" s="3" t="s">
        <v>1310</v>
      </c>
      <c r="F249" s="3" t="s">
        <v>1311</v>
      </c>
      <c r="G249" s="4" t="s">
        <v>1312</v>
      </c>
      <c r="H249" s="3" t="s">
        <v>39</v>
      </c>
      <c r="I249" s="5">
        <v>42.783183999999999</v>
      </c>
      <c r="J249" s="5">
        <v>1.3031900000000001</v>
      </c>
      <c r="K249" s="6">
        <v>1539</v>
      </c>
      <c r="L249" s="3" t="s">
        <v>1313</v>
      </c>
      <c r="M249" s="7">
        <v>1102</v>
      </c>
      <c r="N249" s="7">
        <v>2049</v>
      </c>
      <c r="O249" s="7">
        <f t="shared" si="3"/>
        <v>947</v>
      </c>
      <c r="P249" s="7">
        <v>1602</v>
      </c>
      <c r="Q249" s="8">
        <v>2.5000000000000001E-2</v>
      </c>
      <c r="R249" s="9">
        <v>27.8</v>
      </c>
      <c r="S249" s="6">
        <v>40</v>
      </c>
      <c r="T249" s="6">
        <v>15</v>
      </c>
      <c r="U249" s="6">
        <v>8</v>
      </c>
      <c r="V249" s="6">
        <v>13</v>
      </c>
      <c r="W249" s="6">
        <v>12</v>
      </c>
      <c r="X249" s="6">
        <v>4</v>
      </c>
      <c r="Y249" s="6">
        <v>3</v>
      </c>
      <c r="Z249" s="10">
        <v>0.03</v>
      </c>
      <c r="AA249" s="3"/>
      <c r="AB249" s="3"/>
      <c r="AC249" s="3"/>
      <c r="AD249" s="3" t="s">
        <v>1314</v>
      </c>
      <c r="AE249" s="11" t="s">
        <v>1315</v>
      </c>
    </row>
    <row r="250" spans="1:31" x14ac:dyDescent="0.25">
      <c r="A250" s="20" t="s">
        <v>1316</v>
      </c>
      <c r="B250" s="3" t="s">
        <v>34</v>
      </c>
      <c r="C250" s="3" t="s">
        <v>1226</v>
      </c>
      <c r="D250" s="4" t="s">
        <v>1248</v>
      </c>
      <c r="E250" s="3" t="s">
        <v>1317</v>
      </c>
      <c r="F250" s="3" t="s">
        <v>1318</v>
      </c>
      <c r="G250" s="4" t="s">
        <v>1319</v>
      </c>
      <c r="H250" s="3" t="s">
        <v>39</v>
      </c>
      <c r="I250" s="5">
        <v>43.005400000000002</v>
      </c>
      <c r="J250" s="5">
        <v>-9.4270000000000007E-2</v>
      </c>
      <c r="K250" s="6">
        <v>433</v>
      </c>
      <c r="L250" s="3" t="s">
        <v>1316</v>
      </c>
      <c r="M250" s="7">
        <v>1488</v>
      </c>
      <c r="N250" s="7">
        <v>1726</v>
      </c>
      <c r="O250" s="7">
        <f t="shared" si="3"/>
        <v>238</v>
      </c>
      <c r="P250" s="7">
        <v>1586</v>
      </c>
      <c r="Q250" s="8">
        <v>0</v>
      </c>
      <c r="R250" s="9">
        <v>10.1</v>
      </c>
      <c r="S250" s="6">
        <v>29</v>
      </c>
      <c r="T250" s="6">
        <v>8</v>
      </c>
      <c r="U250" s="6">
        <v>10</v>
      </c>
      <c r="V250" s="6">
        <v>9</v>
      </c>
      <c r="W250" s="6">
        <v>8</v>
      </c>
      <c r="X250" s="6"/>
      <c r="Y250" s="6">
        <v>2</v>
      </c>
      <c r="Z250" s="10">
        <v>7.78</v>
      </c>
      <c r="AA250" s="3"/>
      <c r="AB250" s="3"/>
      <c r="AC250" s="3"/>
      <c r="AD250" s="3" t="s">
        <v>1320</v>
      </c>
      <c r="AE250" s="11" t="s">
        <v>1321</v>
      </c>
    </row>
    <row r="251" spans="1:31" x14ac:dyDescent="0.25">
      <c r="A251" s="2" t="s">
        <v>1322</v>
      </c>
      <c r="B251" s="3" t="s">
        <v>34</v>
      </c>
      <c r="C251" s="3" t="s">
        <v>1226</v>
      </c>
      <c r="D251" s="4" t="s">
        <v>1248</v>
      </c>
      <c r="E251" s="3" t="s">
        <v>1304</v>
      </c>
      <c r="F251" s="3" t="s">
        <v>1305</v>
      </c>
      <c r="G251" s="4" t="s">
        <v>1306</v>
      </c>
      <c r="H251" s="3" t="s">
        <v>39</v>
      </c>
      <c r="I251" s="5">
        <v>42.910150000000002</v>
      </c>
      <c r="J251" s="5">
        <v>0.17510999999999999</v>
      </c>
      <c r="K251" s="6">
        <v>1760</v>
      </c>
      <c r="L251" s="3" t="s">
        <v>1251</v>
      </c>
      <c r="M251" s="7">
        <v>1459</v>
      </c>
      <c r="N251" s="7">
        <v>2464</v>
      </c>
      <c r="O251" s="7">
        <f t="shared" ref="O252:O286" si="4">IF(OR(M252="",N252=""),"",N252-M252)</f>
        <v>1005</v>
      </c>
      <c r="P251" s="7">
        <v>1853</v>
      </c>
      <c r="Q251" s="8">
        <v>0.27600000000000002</v>
      </c>
      <c r="R251" s="9">
        <v>54.9</v>
      </c>
      <c r="S251" s="6">
        <v>81</v>
      </c>
      <c r="T251" s="6">
        <v>30</v>
      </c>
      <c r="U251" s="6">
        <v>17</v>
      </c>
      <c r="V251" s="6">
        <v>44</v>
      </c>
      <c r="W251" s="6">
        <v>15</v>
      </c>
      <c r="X251" s="6">
        <v>4</v>
      </c>
      <c r="Y251" s="6">
        <v>1</v>
      </c>
      <c r="Z251" s="10">
        <v>0.01</v>
      </c>
      <c r="AA251" s="11" t="s">
        <v>1252</v>
      </c>
      <c r="AB251" s="3"/>
      <c r="AC251" s="3"/>
      <c r="AD251" s="3" t="s">
        <v>1253</v>
      </c>
      <c r="AE251" s="3"/>
    </row>
    <row r="252" spans="1:31" x14ac:dyDescent="0.25">
      <c r="A252" s="2" t="s">
        <v>1323</v>
      </c>
      <c r="B252" s="3" t="s">
        <v>34</v>
      </c>
      <c r="C252" s="3" t="s">
        <v>1226</v>
      </c>
      <c r="D252" s="4" t="s">
        <v>1255</v>
      </c>
      <c r="E252" s="3" t="s">
        <v>1324</v>
      </c>
      <c r="F252" s="3" t="s">
        <v>1325</v>
      </c>
      <c r="G252" s="4" t="s">
        <v>1326</v>
      </c>
      <c r="H252" s="3" t="s">
        <v>39</v>
      </c>
      <c r="I252" s="5">
        <v>42.484000000000002</v>
      </c>
      <c r="J252" s="5">
        <v>2.0960000000000001</v>
      </c>
      <c r="K252" s="6">
        <v>1657</v>
      </c>
      <c r="L252" s="3" t="s">
        <v>1327</v>
      </c>
      <c r="M252" s="7">
        <v>1631</v>
      </c>
      <c r="N252" s="7">
        <v>2377</v>
      </c>
      <c r="O252" s="7">
        <f t="shared" si="4"/>
        <v>746</v>
      </c>
      <c r="P252" s="7">
        <v>1910</v>
      </c>
      <c r="Q252" s="8">
        <v>0.27400000000000002</v>
      </c>
      <c r="R252" s="9">
        <v>25.7</v>
      </c>
      <c r="S252" s="6">
        <v>55</v>
      </c>
      <c r="T252" s="6">
        <v>15</v>
      </c>
      <c r="U252" s="6">
        <v>31</v>
      </c>
      <c r="V252" s="6">
        <v>9</v>
      </c>
      <c r="W252" s="6">
        <v>11</v>
      </c>
      <c r="X252" s="6">
        <v>4</v>
      </c>
      <c r="Y252" s="6"/>
      <c r="Z252" s="10">
        <v>1.05</v>
      </c>
      <c r="AA252" s="3"/>
      <c r="AB252" s="3"/>
      <c r="AC252" s="3"/>
      <c r="AD252" s="3" t="s">
        <v>1328</v>
      </c>
      <c r="AE252" s="11" t="s">
        <v>1329</v>
      </c>
    </row>
    <row r="253" spans="1:31" x14ac:dyDescent="0.25">
      <c r="A253" s="2" t="s">
        <v>1330</v>
      </c>
      <c r="B253" s="3" t="s">
        <v>34</v>
      </c>
      <c r="C253" s="3" t="s">
        <v>1226</v>
      </c>
      <c r="D253" s="4" t="s">
        <v>1234</v>
      </c>
      <c r="E253" s="3" t="s">
        <v>1331</v>
      </c>
      <c r="F253" s="3" t="s">
        <v>1332</v>
      </c>
      <c r="G253" s="4" t="s">
        <v>1333</v>
      </c>
      <c r="H253" s="3" t="s">
        <v>1209</v>
      </c>
      <c r="I253" s="5">
        <v>42.768900000000002</v>
      </c>
      <c r="J253" s="5">
        <v>1.8079000000000001</v>
      </c>
      <c r="K253" s="6">
        <v>906</v>
      </c>
      <c r="L253" s="3" t="s">
        <v>1240</v>
      </c>
      <c r="M253" s="7">
        <v>1376</v>
      </c>
      <c r="N253" s="7">
        <v>2345</v>
      </c>
      <c r="O253" s="7">
        <f t="shared" si="4"/>
        <v>969</v>
      </c>
      <c r="P253" s="7">
        <v>1847</v>
      </c>
      <c r="Q253" s="8">
        <v>0.24299999999999999</v>
      </c>
      <c r="R253" s="9">
        <v>71.5</v>
      </c>
      <c r="S253" s="6">
        <v>88</v>
      </c>
      <c r="T253" s="6">
        <v>24</v>
      </c>
      <c r="U253" s="6">
        <v>22</v>
      </c>
      <c r="V253" s="6">
        <v>37</v>
      </c>
      <c r="W253" s="6">
        <v>17</v>
      </c>
      <c r="X253" s="6">
        <v>7</v>
      </c>
      <c r="Y253" s="6">
        <v>5</v>
      </c>
      <c r="Z253" s="10">
        <v>7.66</v>
      </c>
      <c r="AA253" s="3"/>
      <c r="AB253" s="3"/>
      <c r="AC253" s="3"/>
      <c r="AD253" s="3" t="s">
        <v>1245</v>
      </c>
      <c r="AE253" s="11" t="s">
        <v>1334</v>
      </c>
    </row>
    <row r="254" spans="1:31" x14ac:dyDescent="0.25">
      <c r="A254" s="2" t="s">
        <v>1335</v>
      </c>
      <c r="B254" s="3" t="s">
        <v>34</v>
      </c>
      <c r="C254" s="3" t="s">
        <v>1226</v>
      </c>
      <c r="D254" s="4" t="s">
        <v>1336</v>
      </c>
      <c r="E254" s="3" t="s">
        <v>1337</v>
      </c>
      <c r="F254" s="3" t="s">
        <v>1338</v>
      </c>
      <c r="G254" s="4" t="s">
        <v>1339</v>
      </c>
      <c r="H254" s="3" t="s">
        <v>39</v>
      </c>
      <c r="I254" s="5">
        <v>42.918599999999998</v>
      </c>
      <c r="J254" s="5">
        <v>0.75849999999999995</v>
      </c>
      <c r="K254" s="6">
        <v>1315</v>
      </c>
      <c r="L254" s="3" t="s">
        <v>1335</v>
      </c>
      <c r="M254" s="7">
        <v>1385</v>
      </c>
      <c r="N254" s="7">
        <v>1796</v>
      </c>
      <c r="O254" s="7">
        <f t="shared" si="4"/>
        <v>411</v>
      </c>
      <c r="P254" s="7">
        <v>1556</v>
      </c>
      <c r="Q254" s="8">
        <v>0</v>
      </c>
      <c r="R254" s="9">
        <v>13.3</v>
      </c>
      <c r="S254" s="6">
        <v>37</v>
      </c>
      <c r="T254" s="6">
        <v>10</v>
      </c>
      <c r="U254" s="6">
        <v>17</v>
      </c>
      <c r="V254" s="6">
        <v>10</v>
      </c>
      <c r="W254" s="6">
        <v>8</v>
      </c>
      <c r="X254" s="6">
        <v>2</v>
      </c>
      <c r="Y254" s="6"/>
      <c r="Z254" s="10">
        <v>1</v>
      </c>
      <c r="AA254" s="3"/>
      <c r="AB254" s="3"/>
      <c r="AC254" s="3"/>
      <c r="AD254" s="3" t="s">
        <v>1340</v>
      </c>
      <c r="AE254" s="11" t="s">
        <v>1341</v>
      </c>
    </row>
    <row r="255" spans="1:31" x14ac:dyDescent="0.25">
      <c r="A255" s="2" t="s">
        <v>1342</v>
      </c>
      <c r="B255" s="3" t="s">
        <v>34</v>
      </c>
      <c r="C255" s="3" t="s">
        <v>1226</v>
      </c>
      <c r="D255" s="4" t="s">
        <v>1227</v>
      </c>
      <c r="E255" s="3" t="s">
        <v>1343</v>
      </c>
      <c r="F255" s="3" t="s">
        <v>1344</v>
      </c>
      <c r="G255" s="4" t="s">
        <v>1345</v>
      </c>
      <c r="H255" s="3" t="s">
        <v>39</v>
      </c>
      <c r="I255" s="5">
        <v>42.869370000000004</v>
      </c>
      <c r="J255" s="5">
        <v>-0.55156000000000005</v>
      </c>
      <c r="K255" s="6">
        <v>860</v>
      </c>
      <c r="L255" s="3" t="s">
        <v>1346</v>
      </c>
      <c r="M255" s="7">
        <v>1617</v>
      </c>
      <c r="N255" s="7">
        <v>2238</v>
      </c>
      <c r="O255" s="7">
        <f t="shared" si="4"/>
        <v>621</v>
      </c>
      <c r="P255" s="7">
        <v>1913</v>
      </c>
      <c r="Q255" s="8">
        <v>0.41299999999999998</v>
      </c>
      <c r="R255" s="9">
        <v>2.9</v>
      </c>
      <c r="S255" s="6">
        <v>1</v>
      </c>
      <c r="T255" s="6">
        <v>24</v>
      </c>
      <c r="U255" s="6"/>
      <c r="V255" s="6"/>
      <c r="W255" s="6"/>
      <c r="X255" s="6"/>
      <c r="Y255" s="6">
        <v>1</v>
      </c>
      <c r="Z255" s="10">
        <v>9.6999999999999993</v>
      </c>
      <c r="AA255" s="3"/>
      <c r="AB255" s="3"/>
      <c r="AC255" s="3"/>
      <c r="AD255" s="3" t="s">
        <v>1347</v>
      </c>
      <c r="AE255" s="11" t="s">
        <v>1348</v>
      </c>
    </row>
    <row r="256" spans="1:31" x14ac:dyDescent="0.25">
      <c r="A256" s="2" t="s">
        <v>1349</v>
      </c>
      <c r="B256" s="3" t="s">
        <v>34</v>
      </c>
      <c r="C256" s="3" t="s">
        <v>1226</v>
      </c>
      <c r="D256" s="4" t="s">
        <v>1255</v>
      </c>
      <c r="E256" s="3" t="s">
        <v>1256</v>
      </c>
      <c r="F256" s="3" t="s">
        <v>1349</v>
      </c>
      <c r="G256" s="4" t="s">
        <v>1350</v>
      </c>
      <c r="H256" s="3" t="s">
        <v>39</v>
      </c>
      <c r="I256" s="5">
        <v>42.578899999999997</v>
      </c>
      <c r="J256" s="5">
        <v>2.0758999999999999</v>
      </c>
      <c r="K256" s="6">
        <v>1653</v>
      </c>
      <c r="L256" s="3" t="s">
        <v>1351</v>
      </c>
      <c r="M256" s="7">
        <v>1635</v>
      </c>
      <c r="N256" s="7">
        <v>2359</v>
      </c>
      <c r="O256" s="7">
        <f t="shared" si="4"/>
        <v>724</v>
      </c>
      <c r="P256" s="7">
        <v>2090</v>
      </c>
      <c r="Q256" s="8">
        <v>0.65500000000000003</v>
      </c>
      <c r="R256" s="9">
        <v>36.9</v>
      </c>
      <c r="S256" s="6">
        <v>70</v>
      </c>
      <c r="T256" s="6">
        <v>21</v>
      </c>
      <c r="U256" s="6">
        <v>24</v>
      </c>
      <c r="V256" s="6">
        <v>16</v>
      </c>
      <c r="W256" s="6">
        <v>23</v>
      </c>
      <c r="X256" s="6">
        <v>7</v>
      </c>
      <c r="Y256" s="6"/>
      <c r="Z256" s="10">
        <v>0.48</v>
      </c>
      <c r="AA256" s="11" t="s">
        <v>1352</v>
      </c>
      <c r="AB256" s="3"/>
      <c r="AC256" s="11" t="s">
        <v>1353</v>
      </c>
      <c r="AD256" s="3" t="s">
        <v>1354</v>
      </c>
      <c r="AE256" s="11" t="s">
        <v>1355</v>
      </c>
    </row>
    <row r="257" spans="1:31" x14ac:dyDescent="0.25">
      <c r="A257" s="2" t="s">
        <v>1356</v>
      </c>
      <c r="B257" s="3" t="s">
        <v>34</v>
      </c>
      <c r="C257" s="3" t="s">
        <v>1226</v>
      </c>
      <c r="D257" s="4" t="s">
        <v>1234</v>
      </c>
      <c r="E257" s="3" t="s">
        <v>1357</v>
      </c>
      <c r="F257" s="3" t="s">
        <v>1358</v>
      </c>
      <c r="G257" s="4" t="s">
        <v>1359</v>
      </c>
      <c r="H257" s="3" t="s">
        <v>39</v>
      </c>
      <c r="I257" s="5">
        <v>42.844968000000001</v>
      </c>
      <c r="J257" s="5">
        <v>1.743911</v>
      </c>
      <c r="K257" s="6">
        <v>1470</v>
      </c>
      <c r="L257" s="3" t="s">
        <v>1356</v>
      </c>
      <c r="M257" s="7">
        <v>1396</v>
      </c>
      <c r="N257" s="7">
        <v>1955</v>
      </c>
      <c r="O257" s="7">
        <f t="shared" si="4"/>
        <v>559</v>
      </c>
      <c r="P257" s="7">
        <v>1665</v>
      </c>
      <c r="Q257" s="8">
        <v>0</v>
      </c>
      <c r="R257" s="9">
        <v>26.2</v>
      </c>
      <c r="S257" s="6">
        <v>30</v>
      </c>
      <c r="T257" s="6">
        <v>12</v>
      </c>
      <c r="U257" s="6">
        <v>6</v>
      </c>
      <c r="V257" s="6">
        <v>4</v>
      </c>
      <c r="W257" s="6">
        <v>13</v>
      </c>
      <c r="X257" s="6">
        <v>2</v>
      </c>
      <c r="Y257" s="6">
        <v>5</v>
      </c>
      <c r="Z257" s="10">
        <v>0.05</v>
      </c>
      <c r="AA257" s="3"/>
      <c r="AB257" s="3"/>
      <c r="AC257" s="3"/>
      <c r="AD257" s="3" t="s">
        <v>1360</v>
      </c>
      <c r="AE257" s="11" t="s">
        <v>1361</v>
      </c>
    </row>
    <row r="258" spans="1:31" x14ac:dyDescent="0.25">
      <c r="A258" s="2" t="s">
        <v>1362</v>
      </c>
      <c r="B258" s="3" t="s">
        <v>34</v>
      </c>
      <c r="C258" s="3" t="s">
        <v>1226</v>
      </c>
      <c r="D258" s="4" t="s">
        <v>1248</v>
      </c>
      <c r="E258" s="3" t="s">
        <v>1249</v>
      </c>
      <c r="F258" s="3" t="s">
        <v>1363</v>
      </c>
      <c r="G258" s="4" t="s">
        <v>1364</v>
      </c>
      <c r="H258" s="3" t="s">
        <v>39</v>
      </c>
      <c r="I258" s="5">
        <v>42.867243000000002</v>
      </c>
      <c r="J258" s="5">
        <v>-1.2492E-2</v>
      </c>
      <c r="K258" s="6">
        <v>723</v>
      </c>
      <c r="L258" s="3" t="s">
        <v>1365</v>
      </c>
      <c r="M258" s="7">
        <v>1690</v>
      </c>
      <c r="N258" s="7">
        <v>2485</v>
      </c>
      <c r="O258" s="7">
        <f t="shared" si="4"/>
        <v>795</v>
      </c>
      <c r="P258" s="7">
        <v>1962</v>
      </c>
      <c r="Q258" s="8">
        <v>0.44400000000000001</v>
      </c>
      <c r="R258" s="9">
        <v>26</v>
      </c>
      <c r="S258" s="6">
        <v>46</v>
      </c>
      <c r="T258" s="6">
        <v>8</v>
      </c>
      <c r="U258" s="6">
        <v>3</v>
      </c>
      <c r="V258" s="6">
        <v>13</v>
      </c>
      <c r="W258" s="6">
        <v>24</v>
      </c>
      <c r="X258" s="6">
        <v>5</v>
      </c>
      <c r="Y258" s="6">
        <v>1</v>
      </c>
      <c r="Z258" s="10">
        <v>4.17</v>
      </c>
      <c r="AA258" s="3"/>
      <c r="AB258" s="3"/>
      <c r="AC258" s="3"/>
      <c r="AD258" s="3" t="s">
        <v>1366</v>
      </c>
      <c r="AE258" s="11" t="s">
        <v>1367</v>
      </c>
    </row>
    <row r="259" spans="1:31" x14ac:dyDescent="0.25">
      <c r="A259" s="2" t="s">
        <v>1368</v>
      </c>
      <c r="B259" s="3" t="s">
        <v>34</v>
      </c>
      <c r="C259" s="3" t="s">
        <v>1226</v>
      </c>
      <c r="D259" s="4" t="s">
        <v>1234</v>
      </c>
      <c r="E259" s="3" t="s">
        <v>1369</v>
      </c>
      <c r="F259" s="3" t="s">
        <v>1370</v>
      </c>
      <c r="G259" s="4" t="s">
        <v>1371</v>
      </c>
      <c r="H259" s="3" t="s">
        <v>39</v>
      </c>
      <c r="I259" s="5">
        <v>42.722630000000002</v>
      </c>
      <c r="J259" s="5">
        <v>2.0094400000000001</v>
      </c>
      <c r="K259" s="6">
        <v>1702</v>
      </c>
      <c r="L259" s="3" t="s">
        <v>1372</v>
      </c>
      <c r="M259" s="7">
        <v>1535</v>
      </c>
      <c r="N259" s="7">
        <v>2016</v>
      </c>
      <c r="O259" s="7">
        <f t="shared" si="4"/>
        <v>481</v>
      </c>
      <c r="P259" s="7">
        <v>1657</v>
      </c>
      <c r="Q259" s="8">
        <v>0</v>
      </c>
      <c r="R259" s="9">
        <v>10</v>
      </c>
      <c r="S259" s="6">
        <v>18</v>
      </c>
      <c r="T259" s="6">
        <v>5</v>
      </c>
      <c r="U259" s="6">
        <v>4</v>
      </c>
      <c r="V259" s="6">
        <v>7</v>
      </c>
      <c r="W259" s="6">
        <v>4</v>
      </c>
      <c r="X259" s="6">
        <v>3</v>
      </c>
      <c r="Y259" s="6"/>
      <c r="Z259" s="10">
        <v>0.06</v>
      </c>
      <c r="AA259" s="3"/>
      <c r="AB259" s="3"/>
      <c r="AC259" s="3"/>
      <c r="AD259" s="3" t="s">
        <v>1373</v>
      </c>
      <c r="AE259" s="11" t="s">
        <v>1374</v>
      </c>
    </row>
    <row r="260" spans="1:31" x14ac:dyDescent="0.25">
      <c r="A260" s="2" t="s">
        <v>1375</v>
      </c>
      <c r="B260" s="3" t="s">
        <v>34</v>
      </c>
      <c r="C260" s="3" t="s">
        <v>1226</v>
      </c>
      <c r="D260" s="4" t="s">
        <v>1336</v>
      </c>
      <c r="E260" s="3" t="s">
        <v>1376</v>
      </c>
      <c r="F260" s="3" t="s">
        <v>1377</v>
      </c>
      <c r="G260" s="4" t="s">
        <v>1378</v>
      </c>
      <c r="H260" s="3" t="s">
        <v>39</v>
      </c>
      <c r="I260" s="5">
        <v>42.780412499999997</v>
      </c>
      <c r="J260" s="5">
        <v>0.45597738999999998</v>
      </c>
      <c r="K260" s="6">
        <v>2099</v>
      </c>
      <c r="L260" s="3" t="s">
        <v>1375</v>
      </c>
      <c r="M260" s="7">
        <v>1389</v>
      </c>
      <c r="N260" s="7">
        <v>2371</v>
      </c>
      <c r="O260" s="7">
        <f t="shared" si="4"/>
        <v>982</v>
      </c>
      <c r="P260" s="7">
        <v>1921</v>
      </c>
      <c r="Q260" s="8">
        <v>0.37</v>
      </c>
      <c r="R260" s="9">
        <v>43.3</v>
      </c>
      <c r="S260" s="6">
        <v>79</v>
      </c>
      <c r="T260" s="6">
        <v>23</v>
      </c>
      <c r="U260" s="6">
        <v>12</v>
      </c>
      <c r="V260" s="6">
        <v>36</v>
      </c>
      <c r="W260" s="6">
        <v>22</v>
      </c>
      <c r="X260" s="6">
        <v>9</v>
      </c>
      <c r="Y260" s="6"/>
      <c r="Z260" s="10">
        <v>0.11</v>
      </c>
      <c r="AA260" s="11" t="s">
        <v>1379</v>
      </c>
      <c r="AB260" s="3"/>
      <c r="AC260" s="11" t="s">
        <v>1380</v>
      </c>
      <c r="AD260" s="3" t="s">
        <v>1381</v>
      </c>
      <c r="AE260" s="11" t="s">
        <v>1382</v>
      </c>
    </row>
    <row r="261" spans="1:31" x14ac:dyDescent="0.25">
      <c r="A261" s="2" t="s">
        <v>1383</v>
      </c>
      <c r="B261" s="3" t="s">
        <v>34</v>
      </c>
      <c r="C261" s="3" t="s">
        <v>1226</v>
      </c>
      <c r="D261" s="4" t="s">
        <v>1248</v>
      </c>
      <c r="E261" s="3" t="s">
        <v>1269</v>
      </c>
      <c r="F261" s="3" t="s">
        <v>1384</v>
      </c>
      <c r="G261" s="4" t="s">
        <v>1385</v>
      </c>
      <c r="H261" s="3" t="s">
        <v>39</v>
      </c>
      <c r="I261" s="5">
        <v>42.786628999999998</v>
      </c>
      <c r="J261" s="5">
        <v>0.21468300000000001</v>
      </c>
      <c r="K261" s="6">
        <v>1230</v>
      </c>
      <c r="L261" s="3" t="s">
        <v>1386</v>
      </c>
      <c r="M261" s="7">
        <v>1498</v>
      </c>
      <c r="N261" s="7">
        <v>2530</v>
      </c>
      <c r="O261" s="7">
        <f t="shared" si="4"/>
        <v>1032</v>
      </c>
      <c r="P261" s="7">
        <v>2052</v>
      </c>
      <c r="Q261" s="8">
        <v>0.59799999999999998</v>
      </c>
      <c r="R261" s="9">
        <v>32.200000000000003</v>
      </c>
      <c r="S261" s="6">
        <v>67</v>
      </c>
      <c r="T261" s="6">
        <v>9</v>
      </c>
      <c r="U261" s="6">
        <v>6</v>
      </c>
      <c r="V261" s="6">
        <v>35</v>
      </c>
      <c r="W261" s="6">
        <v>11</v>
      </c>
      <c r="X261" s="6">
        <v>9</v>
      </c>
      <c r="Y261" s="6">
        <v>6</v>
      </c>
      <c r="Z261" s="10">
        <v>2.7</v>
      </c>
      <c r="AA261" s="3"/>
      <c r="AB261" s="3"/>
      <c r="AC261" s="3"/>
      <c r="AD261" s="3" t="s">
        <v>1387</v>
      </c>
      <c r="AE261" s="11" t="s">
        <v>1388</v>
      </c>
    </row>
    <row r="262" spans="1:31" x14ac:dyDescent="0.25">
      <c r="A262" s="2" t="s">
        <v>1389</v>
      </c>
      <c r="B262" s="3" t="s">
        <v>34</v>
      </c>
      <c r="C262" s="3" t="s">
        <v>1226</v>
      </c>
      <c r="D262" s="4" t="s">
        <v>1234</v>
      </c>
      <c r="E262" s="3" t="s">
        <v>1390</v>
      </c>
      <c r="F262" s="3" t="s">
        <v>1391</v>
      </c>
      <c r="G262" s="4" t="s">
        <v>1392</v>
      </c>
      <c r="H262" s="3" t="s">
        <v>39</v>
      </c>
      <c r="I262" s="5">
        <v>42.726039999999998</v>
      </c>
      <c r="J262" s="5">
        <v>1.69085</v>
      </c>
      <c r="K262" s="6">
        <v>1773</v>
      </c>
      <c r="L262" s="3" t="s">
        <v>638</v>
      </c>
      <c r="M262" s="7">
        <v>1790</v>
      </c>
      <c r="N262" s="7">
        <v>1808</v>
      </c>
      <c r="O262" s="7">
        <f t="shared" si="4"/>
        <v>18</v>
      </c>
      <c r="P262" s="7">
        <v>1801</v>
      </c>
      <c r="Q262" s="8">
        <v>0</v>
      </c>
      <c r="R262" s="9">
        <v>0.2</v>
      </c>
      <c r="S262" s="6">
        <v>1</v>
      </c>
      <c r="T262" s="6">
        <v>2</v>
      </c>
      <c r="U262" s="6">
        <v>1</v>
      </c>
      <c r="V262" s="6"/>
      <c r="W262" s="6"/>
      <c r="X262" s="6"/>
      <c r="Y262" s="6"/>
      <c r="Z262" s="10">
        <v>0.22</v>
      </c>
      <c r="AA262" s="3"/>
      <c r="AB262" s="3"/>
      <c r="AC262" s="3"/>
      <c r="AD262" s="3" t="s">
        <v>1393</v>
      </c>
      <c r="AE262" s="11" t="s">
        <v>1394</v>
      </c>
    </row>
    <row r="263" spans="1:31" x14ac:dyDescent="0.25">
      <c r="A263" s="2" t="s">
        <v>1395</v>
      </c>
      <c r="B263" s="3" t="s">
        <v>34</v>
      </c>
      <c r="C263" s="3" t="s">
        <v>1226</v>
      </c>
      <c r="D263" s="4" t="s">
        <v>1255</v>
      </c>
      <c r="E263" s="3" t="s">
        <v>1396</v>
      </c>
      <c r="F263" s="3" t="s">
        <v>1397</v>
      </c>
      <c r="G263" s="4" t="s">
        <v>1398</v>
      </c>
      <c r="H263" s="3" t="s">
        <v>39</v>
      </c>
      <c r="I263" s="5">
        <v>42.548560999999999</v>
      </c>
      <c r="J263" s="5">
        <v>1.8334820000000001</v>
      </c>
      <c r="K263" s="6">
        <v>1626</v>
      </c>
      <c r="L263" s="3" t="s">
        <v>1397</v>
      </c>
      <c r="M263" s="7">
        <v>1621</v>
      </c>
      <c r="N263" s="7">
        <v>2518</v>
      </c>
      <c r="O263" s="7">
        <f t="shared" si="4"/>
        <v>897</v>
      </c>
      <c r="P263" s="7">
        <v>2083</v>
      </c>
      <c r="Q263" s="8">
        <v>0.624</v>
      </c>
      <c r="R263" s="9">
        <v>27.6</v>
      </c>
      <c r="S263" s="6">
        <v>32</v>
      </c>
      <c r="T263" s="6">
        <v>10</v>
      </c>
      <c r="U263" s="6">
        <v>11</v>
      </c>
      <c r="V263" s="6">
        <v>7</v>
      </c>
      <c r="W263" s="6">
        <v>7</v>
      </c>
      <c r="X263" s="6">
        <v>7</v>
      </c>
      <c r="Y263" s="6"/>
      <c r="Z263" s="10">
        <v>0.72</v>
      </c>
      <c r="AA263" s="3"/>
      <c r="AB263" s="3"/>
      <c r="AC263" s="3"/>
      <c r="AD263" s="3" t="s">
        <v>1399</v>
      </c>
      <c r="AE263" s="11" t="s">
        <v>1400</v>
      </c>
    </row>
    <row r="264" spans="1:31" x14ac:dyDescent="0.25">
      <c r="A264" s="2" t="s">
        <v>1401</v>
      </c>
      <c r="B264" s="3" t="s">
        <v>34</v>
      </c>
      <c r="C264" s="3" t="s">
        <v>1226</v>
      </c>
      <c r="D264" s="4" t="s">
        <v>1255</v>
      </c>
      <c r="E264" s="3" t="s">
        <v>1256</v>
      </c>
      <c r="F264" s="3" t="s">
        <v>1402</v>
      </c>
      <c r="G264" s="4" t="s">
        <v>1403</v>
      </c>
      <c r="H264" s="3" t="s">
        <v>39</v>
      </c>
      <c r="I264" s="5">
        <v>42.649683000000003</v>
      </c>
      <c r="J264" s="5">
        <v>2.092231</v>
      </c>
      <c r="K264" s="6">
        <v>1555</v>
      </c>
      <c r="L264" s="3" t="s">
        <v>1401</v>
      </c>
      <c r="M264" s="7">
        <v>1707</v>
      </c>
      <c r="N264" s="7">
        <v>1828</v>
      </c>
      <c r="O264" s="7">
        <f t="shared" si="4"/>
        <v>121</v>
      </c>
      <c r="P264" s="7">
        <v>1732</v>
      </c>
      <c r="Q264" s="8">
        <v>0</v>
      </c>
      <c r="R264" s="9">
        <v>1.2</v>
      </c>
      <c r="S264" s="6">
        <v>8</v>
      </c>
      <c r="T264" s="6">
        <v>7</v>
      </c>
      <c r="U264" s="6">
        <v>3</v>
      </c>
      <c r="V264" s="6"/>
      <c r="W264" s="6">
        <v>1</v>
      </c>
      <c r="X264" s="6"/>
      <c r="Y264" s="6">
        <v>4</v>
      </c>
      <c r="Z264" s="10">
        <v>1.1499999999999999</v>
      </c>
      <c r="AA264" s="3"/>
      <c r="AB264" s="3"/>
      <c r="AC264" s="3"/>
      <c r="AD264" s="3" t="s">
        <v>1404</v>
      </c>
      <c r="AE264" s="11" t="s">
        <v>1405</v>
      </c>
    </row>
    <row r="265" spans="1:31" x14ac:dyDescent="0.25">
      <c r="A265" s="2" t="s">
        <v>1406</v>
      </c>
      <c r="B265" s="3" t="s">
        <v>34</v>
      </c>
      <c r="C265" s="3" t="s">
        <v>1226</v>
      </c>
      <c r="D265" s="4" t="s">
        <v>1248</v>
      </c>
      <c r="E265" s="3" t="s">
        <v>1269</v>
      </c>
      <c r="F265" s="3" t="s">
        <v>1270</v>
      </c>
      <c r="G265" s="4" t="s">
        <v>1271</v>
      </c>
      <c r="H265" s="3" t="s">
        <v>39</v>
      </c>
      <c r="I265" s="5">
        <v>42.816081599999997</v>
      </c>
      <c r="J265" s="5">
        <v>0.32257491999999999</v>
      </c>
      <c r="K265" s="6">
        <v>819</v>
      </c>
      <c r="L265" s="3" t="s">
        <v>1272</v>
      </c>
      <c r="M265" s="7">
        <v>1595</v>
      </c>
      <c r="N265" s="7">
        <v>2475</v>
      </c>
      <c r="O265" s="7">
        <f t="shared" si="4"/>
        <v>880</v>
      </c>
      <c r="P265" s="7">
        <v>2086</v>
      </c>
      <c r="Q265" s="8">
        <v>0.65100000000000002</v>
      </c>
      <c r="R265" s="9">
        <v>75.8</v>
      </c>
      <c r="S265" s="6">
        <v>120</v>
      </c>
      <c r="T265" s="6">
        <v>27</v>
      </c>
      <c r="U265" s="6">
        <v>11</v>
      </c>
      <c r="V265" s="6">
        <v>56</v>
      </c>
      <c r="W265" s="6">
        <v>26</v>
      </c>
      <c r="X265" s="6">
        <v>17</v>
      </c>
      <c r="Y265" s="6">
        <v>10</v>
      </c>
      <c r="Z265" s="10">
        <v>2.3199999999999998</v>
      </c>
      <c r="AA265" s="11" t="s">
        <v>1273</v>
      </c>
      <c r="AB265" s="3" t="s">
        <v>103</v>
      </c>
      <c r="AC265" s="11" t="s">
        <v>1407</v>
      </c>
      <c r="AD265" s="3" t="s">
        <v>1274</v>
      </c>
      <c r="AE265" s="11" t="s">
        <v>1408</v>
      </c>
    </row>
    <row r="266" spans="1:31" x14ac:dyDescent="0.25">
      <c r="A266" s="2" t="s">
        <v>1409</v>
      </c>
      <c r="B266" s="3" t="s">
        <v>34</v>
      </c>
      <c r="C266" s="3" t="s">
        <v>1226</v>
      </c>
      <c r="D266" s="4" t="s">
        <v>1248</v>
      </c>
      <c r="E266" s="3" t="s">
        <v>1269</v>
      </c>
      <c r="F266" s="3" t="s">
        <v>1270</v>
      </c>
      <c r="G266" s="4" t="s">
        <v>1271</v>
      </c>
      <c r="H266" s="3" t="s">
        <v>39</v>
      </c>
      <c r="I266" s="5">
        <v>42.813600000000001</v>
      </c>
      <c r="J266" s="5">
        <v>0.29830000000000001</v>
      </c>
      <c r="K266" s="6">
        <v>1622</v>
      </c>
      <c r="L266" s="3" t="s">
        <v>1272</v>
      </c>
      <c r="M266" s="7">
        <v>1595</v>
      </c>
      <c r="N266" s="7">
        <v>2475</v>
      </c>
      <c r="O266" s="7">
        <f t="shared" si="4"/>
        <v>880</v>
      </c>
      <c r="P266" s="7">
        <v>2086</v>
      </c>
      <c r="Q266" s="8">
        <v>0.65100000000000002</v>
      </c>
      <c r="R266" s="9">
        <v>75.8</v>
      </c>
      <c r="S266" s="6">
        <v>120</v>
      </c>
      <c r="T266" s="6">
        <v>27</v>
      </c>
      <c r="U266" s="6">
        <v>11</v>
      </c>
      <c r="V266" s="6">
        <v>56</v>
      </c>
      <c r="W266" s="6">
        <v>26</v>
      </c>
      <c r="X266" s="6">
        <v>17</v>
      </c>
      <c r="Y266" s="6">
        <v>10</v>
      </c>
      <c r="Z266" s="10">
        <v>0.34</v>
      </c>
      <c r="AA266" s="11" t="s">
        <v>1273</v>
      </c>
      <c r="AB266" s="3" t="s">
        <v>103</v>
      </c>
      <c r="AC266" s="3"/>
      <c r="AD266" s="3" t="s">
        <v>1274</v>
      </c>
      <c r="AE266" s="3"/>
    </row>
    <row r="267" spans="1:31" x14ac:dyDescent="0.25">
      <c r="A267" s="2" t="s">
        <v>1410</v>
      </c>
      <c r="B267" s="3" t="s">
        <v>34</v>
      </c>
      <c r="C267" s="3" t="s">
        <v>1226</v>
      </c>
      <c r="D267" s="4" t="s">
        <v>1336</v>
      </c>
      <c r="E267" s="3" t="s">
        <v>1376</v>
      </c>
      <c r="F267" s="3" t="s">
        <v>1411</v>
      </c>
      <c r="G267" s="4" t="s">
        <v>1412</v>
      </c>
      <c r="H267" s="3" t="s">
        <v>39</v>
      </c>
      <c r="I267" s="5">
        <v>42.768405000000001</v>
      </c>
      <c r="J267" s="5">
        <v>0.57753600000000005</v>
      </c>
      <c r="K267" s="6">
        <v>1795</v>
      </c>
      <c r="L267" s="3" t="s">
        <v>1410</v>
      </c>
      <c r="M267" s="7">
        <v>1463</v>
      </c>
      <c r="N267" s="7">
        <v>2122</v>
      </c>
      <c r="O267" s="7">
        <f t="shared" si="4"/>
        <v>659</v>
      </c>
      <c r="P267" s="7">
        <v>1724</v>
      </c>
      <c r="Q267" s="8">
        <v>7.6999999999999999E-2</v>
      </c>
      <c r="R267" s="9">
        <v>30.4</v>
      </c>
      <c r="S267" s="6">
        <v>74</v>
      </c>
      <c r="T267" s="6">
        <v>14</v>
      </c>
      <c r="U267" s="6">
        <v>16</v>
      </c>
      <c r="V267" s="6">
        <v>34</v>
      </c>
      <c r="W267" s="6">
        <v>9</v>
      </c>
      <c r="X267" s="6">
        <v>13</v>
      </c>
      <c r="Y267" s="6">
        <v>2</v>
      </c>
      <c r="Z267" s="10">
        <v>0.01</v>
      </c>
      <c r="AA267" s="3"/>
      <c r="AB267" s="3"/>
      <c r="AC267" s="3"/>
      <c r="AD267" s="3" t="s">
        <v>1413</v>
      </c>
      <c r="AE267" s="11" t="s">
        <v>1414</v>
      </c>
    </row>
    <row r="268" spans="1:31" x14ac:dyDescent="0.25">
      <c r="A268" s="2" t="s">
        <v>1415</v>
      </c>
      <c r="B268" s="3" t="s">
        <v>34</v>
      </c>
      <c r="C268" s="3" t="s">
        <v>1226</v>
      </c>
      <c r="D268" s="4" t="s">
        <v>1248</v>
      </c>
      <c r="E268" s="3" t="s">
        <v>1416</v>
      </c>
      <c r="F268" s="3" t="s">
        <v>1417</v>
      </c>
      <c r="G268" s="4" t="s">
        <v>1418</v>
      </c>
      <c r="H268" s="3" t="s">
        <v>39</v>
      </c>
      <c r="I268" s="5">
        <v>42.79074</v>
      </c>
      <c r="J268" s="5">
        <v>0.40908</v>
      </c>
      <c r="K268" s="6">
        <v>969</v>
      </c>
      <c r="L268" s="3" t="s">
        <v>1419</v>
      </c>
      <c r="M268" s="7">
        <v>1442</v>
      </c>
      <c r="N268" s="7">
        <v>2071</v>
      </c>
      <c r="O268" s="7">
        <f t="shared" si="4"/>
        <v>629</v>
      </c>
      <c r="P268" s="7">
        <v>1749</v>
      </c>
      <c r="Q268" s="8">
        <v>7.3999999999999996E-2</v>
      </c>
      <c r="R268" s="9">
        <v>15.9</v>
      </c>
      <c r="S268" s="6">
        <v>34</v>
      </c>
      <c r="T268" s="6">
        <v>10</v>
      </c>
      <c r="U268" s="6">
        <v>7</v>
      </c>
      <c r="V268" s="6">
        <v>5</v>
      </c>
      <c r="W268" s="6">
        <v>11</v>
      </c>
      <c r="X268" s="6">
        <v>2</v>
      </c>
      <c r="Y268" s="6">
        <v>9</v>
      </c>
      <c r="Z268" s="10">
        <v>1.38</v>
      </c>
      <c r="AA268" s="3"/>
      <c r="AB268" s="3"/>
      <c r="AC268" s="3"/>
      <c r="AD268" s="3" t="s">
        <v>1420</v>
      </c>
      <c r="AE268" s="11" t="s">
        <v>1421</v>
      </c>
    </row>
    <row r="269" spans="1:31" x14ac:dyDescent="0.25">
      <c r="A269" s="2" t="s">
        <v>1422</v>
      </c>
      <c r="B269" s="3" t="s">
        <v>34</v>
      </c>
      <c r="C269" s="3" t="s">
        <v>1226</v>
      </c>
      <c r="D269" s="4" t="s">
        <v>1248</v>
      </c>
      <c r="E269" s="3" t="s">
        <v>1317</v>
      </c>
      <c r="F269" s="3" t="s">
        <v>1423</v>
      </c>
      <c r="G269" s="4" t="s">
        <v>1424</v>
      </c>
      <c r="H269" s="3" t="s">
        <v>39</v>
      </c>
      <c r="I269" s="5">
        <v>42.952889999999996</v>
      </c>
      <c r="J269" s="5">
        <v>-0.21418000000000001</v>
      </c>
      <c r="K269" s="6">
        <v>881</v>
      </c>
      <c r="L269" s="3" t="s">
        <v>1425</v>
      </c>
      <c r="M269" s="7">
        <v>1725</v>
      </c>
      <c r="N269" s="7">
        <v>2422</v>
      </c>
      <c r="O269" s="7">
        <f t="shared" si="4"/>
        <v>697</v>
      </c>
      <c r="P269" s="7">
        <v>2042</v>
      </c>
      <c r="Q269" s="8">
        <v>0.58399999999999996</v>
      </c>
      <c r="R269" s="9">
        <v>25.2</v>
      </c>
      <c r="S269" s="6">
        <v>71</v>
      </c>
      <c r="T269" s="6">
        <v>9</v>
      </c>
      <c r="U269" s="6">
        <v>11</v>
      </c>
      <c r="V269" s="6">
        <v>18</v>
      </c>
      <c r="W269" s="6">
        <v>18</v>
      </c>
      <c r="X269" s="6">
        <v>4</v>
      </c>
      <c r="Y269" s="6">
        <v>20</v>
      </c>
      <c r="Z269" s="10">
        <v>7.87</v>
      </c>
      <c r="AA269" s="3"/>
      <c r="AB269" s="3"/>
      <c r="AC269" s="3"/>
      <c r="AD269" s="3" t="s">
        <v>1426</v>
      </c>
      <c r="AE269" s="11" t="s">
        <v>1427</v>
      </c>
    </row>
    <row r="270" spans="1:31" x14ac:dyDescent="0.25">
      <c r="A270" s="2" t="s">
        <v>1428</v>
      </c>
      <c r="B270" s="3" t="s">
        <v>34</v>
      </c>
      <c r="C270" s="3" t="s">
        <v>1429</v>
      </c>
      <c r="D270" s="4" t="s">
        <v>1430</v>
      </c>
      <c r="E270" s="3" t="s">
        <v>1431</v>
      </c>
      <c r="F270" s="3" t="s">
        <v>1432</v>
      </c>
      <c r="G270" s="4" t="s">
        <v>1433</v>
      </c>
      <c r="H270" s="3" t="s">
        <v>39</v>
      </c>
      <c r="I270" s="5">
        <v>48.407053900000001</v>
      </c>
      <c r="J270" s="5">
        <v>7.2591657999999999</v>
      </c>
      <c r="K270" s="6">
        <v>1008</v>
      </c>
      <c r="L270" s="3" t="s">
        <v>1434</v>
      </c>
      <c r="M270" s="7">
        <v>892</v>
      </c>
      <c r="N270" s="7">
        <v>1066</v>
      </c>
      <c r="O270" s="7">
        <f t="shared" si="4"/>
        <v>174</v>
      </c>
      <c r="P270" s="7">
        <v>989</v>
      </c>
      <c r="Q270" s="8">
        <v>0</v>
      </c>
      <c r="R270" s="9">
        <v>6.8</v>
      </c>
      <c r="S270" s="6">
        <v>16</v>
      </c>
      <c r="T270" s="6">
        <v>10</v>
      </c>
      <c r="U270" s="6">
        <v>5</v>
      </c>
      <c r="V270" s="6">
        <v>5</v>
      </c>
      <c r="W270" s="6">
        <v>5</v>
      </c>
      <c r="X270" s="6"/>
      <c r="Y270" s="6">
        <v>1</v>
      </c>
      <c r="Z270" s="10">
        <v>0.08</v>
      </c>
      <c r="AA270" s="11" t="s">
        <v>1435</v>
      </c>
      <c r="AB270" s="3"/>
      <c r="AC270" s="11" t="s">
        <v>1436</v>
      </c>
      <c r="AD270" s="3" t="s">
        <v>1437</v>
      </c>
      <c r="AE270" s="11" t="s">
        <v>1438</v>
      </c>
    </row>
    <row r="271" spans="1:31" x14ac:dyDescent="0.25">
      <c r="A271" s="2" t="s">
        <v>1439</v>
      </c>
      <c r="B271" s="3" t="s">
        <v>34</v>
      </c>
      <c r="C271" s="3" t="s">
        <v>1429</v>
      </c>
      <c r="D271" s="4" t="s">
        <v>1429</v>
      </c>
      <c r="E271" s="3" t="s">
        <v>1440</v>
      </c>
      <c r="F271" s="3" t="s">
        <v>1441</v>
      </c>
      <c r="G271" s="4" t="s">
        <v>1442</v>
      </c>
      <c r="H271" s="3" t="s">
        <v>39</v>
      </c>
      <c r="I271" s="5">
        <v>48.072200000000002</v>
      </c>
      <c r="J271" s="5">
        <v>6.8749000000000002</v>
      </c>
      <c r="K271" s="6">
        <v>663</v>
      </c>
      <c r="L271" s="3" t="s">
        <v>1441</v>
      </c>
      <c r="M271" s="7">
        <v>776</v>
      </c>
      <c r="N271" s="7">
        <v>1138</v>
      </c>
      <c r="O271" s="7">
        <f t="shared" si="4"/>
        <v>362</v>
      </c>
      <c r="P271" s="7">
        <v>1012</v>
      </c>
      <c r="Q271" s="8">
        <v>0</v>
      </c>
      <c r="R271" s="9">
        <v>22.8</v>
      </c>
      <c r="S271" s="6">
        <v>61</v>
      </c>
      <c r="T271" s="6">
        <v>18</v>
      </c>
      <c r="U271" s="6">
        <v>21</v>
      </c>
      <c r="V271" s="6">
        <v>5</v>
      </c>
      <c r="W271" s="6">
        <v>11</v>
      </c>
      <c r="X271" s="6">
        <v>2</v>
      </c>
      <c r="Y271" s="6">
        <v>22</v>
      </c>
      <c r="Z271" s="10">
        <v>1.93</v>
      </c>
      <c r="AA271" s="11" t="s">
        <v>1443</v>
      </c>
      <c r="AB271" s="3" t="s">
        <v>103</v>
      </c>
      <c r="AC271" s="3"/>
      <c r="AD271" s="3" t="s">
        <v>1444</v>
      </c>
      <c r="AE271" s="11" t="s">
        <v>1445</v>
      </c>
    </row>
    <row r="272" spans="1:31" x14ac:dyDescent="0.25">
      <c r="A272" s="2" t="s">
        <v>1446</v>
      </c>
      <c r="B272" s="3" t="s">
        <v>34</v>
      </c>
      <c r="C272" s="3" t="s">
        <v>1429</v>
      </c>
      <c r="D272" s="4" t="s">
        <v>1429</v>
      </c>
      <c r="E272" s="3" t="s">
        <v>1447</v>
      </c>
      <c r="F272" s="3" t="s">
        <v>1448</v>
      </c>
      <c r="G272" s="4" t="s">
        <v>1449</v>
      </c>
      <c r="H272" s="3" t="s">
        <v>39</v>
      </c>
      <c r="I272" s="5">
        <v>47.996153</v>
      </c>
      <c r="J272" s="5">
        <v>6.8665979999999998</v>
      </c>
      <c r="K272" s="6">
        <v>699</v>
      </c>
      <c r="L272" s="3" t="s">
        <v>1446</v>
      </c>
      <c r="M272" s="7">
        <v>868</v>
      </c>
      <c r="N272" s="7">
        <v>982</v>
      </c>
      <c r="O272" s="7">
        <f t="shared" si="4"/>
        <v>114</v>
      </c>
      <c r="P272" s="7">
        <v>924</v>
      </c>
      <c r="Q272" s="8">
        <v>0</v>
      </c>
      <c r="R272" s="9">
        <v>2.7</v>
      </c>
      <c r="S272" s="6">
        <v>11</v>
      </c>
      <c r="T272" s="6">
        <v>3</v>
      </c>
      <c r="U272" s="6">
        <v>1</v>
      </c>
      <c r="V272" s="6">
        <v>2</v>
      </c>
      <c r="W272" s="6">
        <v>2</v>
      </c>
      <c r="X272" s="6">
        <v>5</v>
      </c>
      <c r="Y272" s="6">
        <v>1</v>
      </c>
      <c r="Z272" s="10">
        <v>0.83</v>
      </c>
      <c r="AA272" s="3"/>
      <c r="AB272" s="3"/>
      <c r="AC272" s="3"/>
      <c r="AD272" s="3" t="s">
        <v>1450</v>
      </c>
      <c r="AE272" s="11" t="s">
        <v>1451</v>
      </c>
    </row>
    <row r="273" spans="1:31" x14ac:dyDescent="0.25">
      <c r="A273" s="2" t="s">
        <v>1452</v>
      </c>
      <c r="B273" s="3" t="s">
        <v>34</v>
      </c>
      <c r="C273" s="3" t="s">
        <v>1429</v>
      </c>
      <c r="D273" s="4" t="s">
        <v>1429</v>
      </c>
      <c r="E273" s="3" t="s">
        <v>1447</v>
      </c>
      <c r="F273" s="3" t="s">
        <v>1448</v>
      </c>
      <c r="G273" s="4" t="s">
        <v>1449</v>
      </c>
      <c r="H273" s="3" t="s">
        <v>39</v>
      </c>
      <c r="I273" s="5">
        <v>48.038825799999998</v>
      </c>
      <c r="J273" s="5">
        <v>6.9733202299999997</v>
      </c>
      <c r="K273" s="6">
        <v>918</v>
      </c>
      <c r="L273" s="3" t="s">
        <v>1453</v>
      </c>
      <c r="M273" s="7">
        <v>876</v>
      </c>
      <c r="N273" s="7">
        <v>1346</v>
      </c>
      <c r="O273" s="7">
        <f t="shared" si="4"/>
        <v>470</v>
      </c>
      <c r="P273" s="7">
        <v>1138</v>
      </c>
      <c r="Q273" s="8">
        <v>0</v>
      </c>
      <c r="R273" s="9">
        <v>24</v>
      </c>
      <c r="S273" s="6">
        <v>66</v>
      </c>
      <c r="T273" s="6">
        <v>15</v>
      </c>
      <c r="U273" s="6">
        <v>10</v>
      </c>
      <c r="V273" s="6">
        <v>19</v>
      </c>
      <c r="W273" s="6">
        <v>16</v>
      </c>
      <c r="X273" s="6"/>
      <c r="Y273" s="6">
        <v>21</v>
      </c>
      <c r="Z273" s="10">
        <v>0.13</v>
      </c>
      <c r="AA273" s="11" t="s">
        <v>1454</v>
      </c>
      <c r="AB273" s="3" t="s">
        <v>103</v>
      </c>
      <c r="AC273" s="11" t="s">
        <v>1455</v>
      </c>
      <c r="AD273" s="3" t="s">
        <v>1456</v>
      </c>
      <c r="AE273" s="11" t="s">
        <v>1457</v>
      </c>
    </row>
    <row r="274" spans="1:31" x14ac:dyDescent="0.25">
      <c r="A274" s="2" t="s">
        <v>1458</v>
      </c>
      <c r="B274" s="3" t="s">
        <v>34</v>
      </c>
      <c r="C274" s="3" t="s">
        <v>1429</v>
      </c>
      <c r="D274" s="4" t="s">
        <v>1429</v>
      </c>
      <c r="E274" s="3" t="s">
        <v>1459</v>
      </c>
      <c r="F274" s="3" t="s">
        <v>1460</v>
      </c>
      <c r="G274" s="4" t="s">
        <v>1461</v>
      </c>
      <c r="H274" s="3" t="s">
        <v>39</v>
      </c>
      <c r="I274" s="5">
        <v>48.06382</v>
      </c>
      <c r="J274" s="5">
        <v>7.0224299999999999</v>
      </c>
      <c r="K274" s="6">
        <v>1135</v>
      </c>
      <c r="L274" s="3" t="s">
        <v>1458</v>
      </c>
      <c r="M274" s="7">
        <v>1140</v>
      </c>
      <c r="N274" s="7">
        <v>1252</v>
      </c>
      <c r="O274" s="7">
        <f t="shared" si="4"/>
        <v>112</v>
      </c>
      <c r="P274" s="7">
        <v>1184</v>
      </c>
      <c r="Q274" s="8">
        <v>0</v>
      </c>
      <c r="R274" s="9">
        <v>0.9</v>
      </c>
      <c r="S274" s="6">
        <v>4</v>
      </c>
      <c r="T274" s="6">
        <v>1</v>
      </c>
      <c r="U274" s="6"/>
      <c r="V274" s="6">
        <v>3</v>
      </c>
      <c r="W274" s="6"/>
      <c r="X274" s="6"/>
      <c r="Y274" s="6">
        <v>1</v>
      </c>
      <c r="Z274" s="10">
        <v>0.14000000000000001</v>
      </c>
      <c r="AA274" s="3"/>
      <c r="AB274" s="3"/>
      <c r="AC274" s="3"/>
      <c r="AD274" s="3" t="s">
        <v>1462</v>
      </c>
      <c r="AE274" s="11" t="s">
        <v>1463</v>
      </c>
    </row>
    <row r="275" spans="1:31" x14ac:dyDescent="0.25">
      <c r="A275" s="2" t="s">
        <v>1464</v>
      </c>
      <c r="B275" s="3" t="s">
        <v>34</v>
      </c>
      <c r="C275" s="3" t="s">
        <v>1429</v>
      </c>
      <c r="D275" s="4" t="s">
        <v>1465</v>
      </c>
      <c r="E275" s="3" t="s">
        <v>1466</v>
      </c>
      <c r="F275" s="3" t="s">
        <v>1467</v>
      </c>
      <c r="G275" s="4" t="s">
        <v>1468</v>
      </c>
      <c r="H275" s="3" t="s">
        <v>39</v>
      </c>
      <c r="I275" s="5">
        <v>47.820599999999999</v>
      </c>
      <c r="J275" s="5">
        <v>6.8399000000000001</v>
      </c>
      <c r="K275" s="6">
        <v>1175</v>
      </c>
      <c r="L275" s="3" t="s">
        <v>1469</v>
      </c>
      <c r="M275" s="7">
        <v>801</v>
      </c>
      <c r="N275" s="7">
        <v>1150</v>
      </c>
      <c r="O275" s="7">
        <f t="shared" si="4"/>
        <v>349</v>
      </c>
      <c r="P275" s="7">
        <v>1048</v>
      </c>
      <c r="Q275" s="8">
        <v>0</v>
      </c>
      <c r="R275" s="9">
        <v>8</v>
      </c>
      <c r="S275" s="6">
        <v>27</v>
      </c>
      <c r="T275" s="6">
        <v>10</v>
      </c>
      <c r="U275" s="6">
        <v>7</v>
      </c>
      <c r="V275" s="6">
        <v>3</v>
      </c>
      <c r="W275" s="6">
        <v>4</v>
      </c>
      <c r="X275" s="6">
        <v>4</v>
      </c>
      <c r="Y275" s="6">
        <v>9</v>
      </c>
      <c r="Z275" s="10">
        <v>0.95</v>
      </c>
      <c r="AA275" s="3"/>
      <c r="AB275" s="3"/>
      <c r="AC275" s="3"/>
      <c r="AD275" s="3" t="s">
        <v>1470</v>
      </c>
      <c r="AE275" s="11" t="s">
        <v>1471</v>
      </c>
    </row>
    <row r="276" spans="1:31" x14ac:dyDescent="0.25">
      <c r="A276" s="2" t="s">
        <v>1472</v>
      </c>
      <c r="B276" s="3" t="s">
        <v>34</v>
      </c>
      <c r="C276" s="3" t="s">
        <v>1429</v>
      </c>
      <c r="D276" s="4" t="s">
        <v>1473</v>
      </c>
      <c r="E276" s="3" t="s">
        <v>1474</v>
      </c>
      <c r="F276" s="3" t="s">
        <v>1475</v>
      </c>
      <c r="G276" s="4" t="s">
        <v>1476</v>
      </c>
      <c r="H276" s="3" t="s">
        <v>39</v>
      </c>
      <c r="I276" s="5">
        <v>47.802549999999997</v>
      </c>
      <c r="J276" s="5">
        <v>7.1293100000000003</v>
      </c>
      <c r="K276" s="6">
        <v>324</v>
      </c>
      <c r="L276" s="3" t="s">
        <v>1477</v>
      </c>
      <c r="M276" s="7">
        <v>998</v>
      </c>
      <c r="N276" s="7">
        <v>1162</v>
      </c>
      <c r="O276" s="7">
        <f t="shared" si="4"/>
        <v>164</v>
      </c>
      <c r="P276" s="7">
        <v>1090</v>
      </c>
      <c r="Q276" s="8">
        <v>0</v>
      </c>
      <c r="R276" s="9">
        <v>1.7</v>
      </c>
      <c r="S276" s="6">
        <v>2</v>
      </c>
      <c r="T276" s="6">
        <v>1</v>
      </c>
      <c r="U276" s="6"/>
      <c r="V276" s="6"/>
      <c r="W276" s="6">
        <v>2</v>
      </c>
      <c r="X276" s="6"/>
      <c r="Y276" s="6"/>
      <c r="Z276" s="10">
        <v>7.62</v>
      </c>
      <c r="AA276" s="3"/>
      <c r="AB276" s="3"/>
      <c r="AC276" s="3"/>
      <c r="AD276" s="3" t="s">
        <v>1478</v>
      </c>
      <c r="AE276" s="11" t="s">
        <v>1479</v>
      </c>
    </row>
    <row r="277" spans="1:31" x14ac:dyDescent="0.25">
      <c r="A277" s="2" t="s">
        <v>1480</v>
      </c>
      <c r="B277" s="3" t="s">
        <v>34</v>
      </c>
      <c r="C277" s="3" t="s">
        <v>1429</v>
      </c>
      <c r="D277" s="4" t="s">
        <v>1473</v>
      </c>
      <c r="E277" s="3" t="s">
        <v>1481</v>
      </c>
      <c r="F277" s="3" t="s">
        <v>1482</v>
      </c>
      <c r="G277" s="4" t="s">
        <v>1483</v>
      </c>
      <c r="H277" s="3" t="s">
        <v>39</v>
      </c>
      <c r="I277" s="5">
        <v>48.136372999999999</v>
      </c>
      <c r="J277" s="5">
        <v>7.0885210000000001</v>
      </c>
      <c r="K277" s="6">
        <v>1146</v>
      </c>
      <c r="L277" s="3" t="s">
        <v>1484</v>
      </c>
      <c r="M277" s="7">
        <v>855</v>
      </c>
      <c r="N277" s="7">
        <v>1205</v>
      </c>
      <c r="O277" s="7">
        <f t="shared" si="4"/>
        <v>350</v>
      </c>
      <c r="P277" s="7">
        <v>1094</v>
      </c>
      <c r="Q277" s="8">
        <v>0</v>
      </c>
      <c r="R277" s="9">
        <v>11.7</v>
      </c>
      <c r="S277" s="6">
        <v>31</v>
      </c>
      <c r="T277" s="6">
        <v>11</v>
      </c>
      <c r="U277" s="6">
        <v>12</v>
      </c>
      <c r="V277" s="6">
        <v>4</v>
      </c>
      <c r="W277" s="6">
        <v>14</v>
      </c>
      <c r="X277" s="6">
        <v>1</v>
      </c>
      <c r="Y277" s="6"/>
      <c r="Z277" s="10">
        <v>0.09</v>
      </c>
      <c r="AA277" s="11" t="s">
        <v>1485</v>
      </c>
      <c r="AB277" s="3"/>
      <c r="AC277" s="11" t="s">
        <v>1486</v>
      </c>
      <c r="AD277" s="3" t="s">
        <v>1487</v>
      </c>
      <c r="AE277" s="11" t="s">
        <v>1488</v>
      </c>
    </row>
    <row r="278" spans="1:31" x14ac:dyDescent="0.25">
      <c r="A278" s="2" t="s">
        <v>1489</v>
      </c>
      <c r="B278" s="3" t="s">
        <v>34</v>
      </c>
      <c r="C278" s="3" t="s">
        <v>1429</v>
      </c>
      <c r="D278" s="4" t="s">
        <v>1473</v>
      </c>
      <c r="E278" s="3" t="s">
        <v>1490</v>
      </c>
      <c r="F278" s="3" t="s">
        <v>1491</v>
      </c>
      <c r="G278" s="4" t="s">
        <v>1492</v>
      </c>
      <c r="H278" s="3" t="s">
        <v>39</v>
      </c>
      <c r="I278" s="5">
        <v>47.9236</v>
      </c>
      <c r="J278" s="5">
        <v>7.0292000000000003</v>
      </c>
      <c r="K278" s="6">
        <v>1195</v>
      </c>
      <c r="L278" s="3" t="s">
        <v>1489</v>
      </c>
      <c r="M278" s="7">
        <v>1031</v>
      </c>
      <c r="N278" s="7">
        <v>1261</v>
      </c>
      <c r="O278" s="7">
        <f t="shared" si="4"/>
        <v>230</v>
      </c>
      <c r="P278" s="7">
        <v>1162</v>
      </c>
      <c r="Q278" s="8">
        <v>0</v>
      </c>
      <c r="R278" s="9">
        <v>8.8000000000000007</v>
      </c>
      <c r="S278" s="6">
        <v>33</v>
      </c>
      <c r="T278" s="6">
        <v>9</v>
      </c>
      <c r="U278" s="6">
        <v>10</v>
      </c>
      <c r="V278" s="6">
        <v>10</v>
      </c>
      <c r="W278" s="6">
        <v>3</v>
      </c>
      <c r="X278" s="6">
        <v>5</v>
      </c>
      <c r="Y278" s="6">
        <v>5</v>
      </c>
      <c r="Z278" s="10">
        <v>0.08</v>
      </c>
      <c r="AA278" s="3"/>
      <c r="AB278" s="3"/>
      <c r="AC278" s="3"/>
      <c r="AD278" s="3" t="s">
        <v>1493</v>
      </c>
      <c r="AE278" s="11" t="s">
        <v>1494</v>
      </c>
    </row>
    <row r="279" spans="1:31" x14ac:dyDescent="0.25">
      <c r="A279" s="2" t="s">
        <v>1495</v>
      </c>
      <c r="B279" s="3" t="s">
        <v>34</v>
      </c>
      <c r="C279" s="3" t="s">
        <v>1429</v>
      </c>
      <c r="D279" s="4" t="s">
        <v>1473</v>
      </c>
      <c r="E279" s="3" t="s">
        <v>1496</v>
      </c>
      <c r="F279" s="3" t="s">
        <v>1497</v>
      </c>
      <c r="G279" s="4" t="s">
        <v>1498</v>
      </c>
      <c r="H279" s="3" t="s">
        <v>39</v>
      </c>
      <c r="I279" s="5">
        <v>47.795037999999998</v>
      </c>
      <c r="J279" s="5">
        <v>6.9253150000000003</v>
      </c>
      <c r="K279" s="6">
        <v>613</v>
      </c>
      <c r="L279" s="3" t="s">
        <v>1495</v>
      </c>
      <c r="M279" s="7">
        <v>675</v>
      </c>
      <c r="N279" s="7">
        <v>1014</v>
      </c>
      <c r="O279" s="7">
        <f t="shared" si="4"/>
        <v>339</v>
      </c>
      <c r="P279" s="7">
        <v>754</v>
      </c>
      <c r="Q279" s="8">
        <v>0</v>
      </c>
      <c r="R279" s="9">
        <v>1.4</v>
      </c>
      <c r="S279" s="6">
        <v>2</v>
      </c>
      <c r="T279" s="6">
        <v>2</v>
      </c>
      <c r="U279" s="6">
        <v>1</v>
      </c>
      <c r="V279" s="6"/>
      <c r="W279" s="6">
        <v>1</v>
      </c>
      <c r="X279" s="6"/>
      <c r="Y279" s="6"/>
      <c r="Z279" s="10">
        <v>0.28999999999999998</v>
      </c>
      <c r="AA279" s="3"/>
      <c r="AB279" s="3"/>
      <c r="AC279" s="3"/>
      <c r="AD279" s="3" t="s">
        <v>1499</v>
      </c>
      <c r="AE279" s="11" t="s">
        <v>1500</v>
      </c>
    </row>
    <row r="280" spans="1:31" x14ac:dyDescent="0.25">
      <c r="A280" s="2" t="s">
        <v>1501</v>
      </c>
      <c r="B280" s="3" t="s">
        <v>34</v>
      </c>
      <c r="C280" s="3" t="s">
        <v>1429</v>
      </c>
      <c r="D280" s="4" t="s">
        <v>1429</v>
      </c>
      <c r="E280" s="3" t="s">
        <v>1447</v>
      </c>
      <c r="F280" s="3" t="s">
        <v>1448</v>
      </c>
      <c r="G280" s="4" t="s">
        <v>1449</v>
      </c>
      <c r="H280" s="3" t="s">
        <v>39</v>
      </c>
      <c r="I280" s="5">
        <v>48.036493999999998</v>
      </c>
      <c r="J280" s="5">
        <v>6.9265169999999996</v>
      </c>
      <c r="K280" s="6">
        <v>851</v>
      </c>
      <c r="L280" s="3" t="s">
        <v>1441</v>
      </c>
      <c r="M280" s="7">
        <v>776</v>
      </c>
      <c r="N280" s="7">
        <v>1138</v>
      </c>
      <c r="O280" s="7">
        <f t="shared" si="4"/>
        <v>362</v>
      </c>
      <c r="P280" s="7">
        <v>1012</v>
      </c>
      <c r="Q280" s="8">
        <v>0</v>
      </c>
      <c r="R280" s="9">
        <v>22.8</v>
      </c>
      <c r="S280" s="6">
        <v>61</v>
      </c>
      <c r="T280" s="6">
        <v>18</v>
      </c>
      <c r="U280" s="6">
        <v>21</v>
      </c>
      <c r="V280" s="6">
        <v>5</v>
      </c>
      <c r="W280" s="6">
        <v>11</v>
      </c>
      <c r="X280" s="6">
        <v>2</v>
      </c>
      <c r="Y280" s="6">
        <v>22</v>
      </c>
      <c r="Z280" s="10">
        <v>1.0900000000000001</v>
      </c>
      <c r="AA280" s="3"/>
      <c r="AB280" s="3"/>
      <c r="AC280" s="3"/>
      <c r="AD280" s="3" t="s">
        <v>1444</v>
      </c>
      <c r="AE280" s="11" t="s">
        <v>1502</v>
      </c>
    </row>
    <row r="281" spans="1:31" x14ac:dyDescent="0.25">
      <c r="A281" s="2" t="s">
        <v>1503</v>
      </c>
      <c r="B281" s="3" t="s">
        <v>34</v>
      </c>
      <c r="C281" s="3" t="s">
        <v>1429</v>
      </c>
      <c r="D281" s="4" t="s">
        <v>1429</v>
      </c>
      <c r="E281" s="3" t="s">
        <v>1504</v>
      </c>
      <c r="F281" s="3" t="s">
        <v>1505</v>
      </c>
      <c r="G281" s="4" t="s">
        <v>1506</v>
      </c>
      <c r="H281" s="3" t="s">
        <v>39</v>
      </c>
      <c r="I281" s="5">
        <v>47.861600000000003</v>
      </c>
      <c r="J281" s="5">
        <v>6.8261000000000003</v>
      </c>
      <c r="K281" s="6">
        <v>561</v>
      </c>
      <c r="L281" s="3" t="s">
        <v>1505</v>
      </c>
      <c r="M281" s="7">
        <v>1080</v>
      </c>
      <c r="N281" s="7">
        <v>1142</v>
      </c>
      <c r="O281" s="7">
        <f t="shared" si="4"/>
        <v>62</v>
      </c>
      <c r="P281" s="7">
        <v>1093</v>
      </c>
      <c r="Q281" s="8">
        <v>0</v>
      </c>
      <c r="R281" s="9">
        <v>0.3</v>
      </c>
      <c r="S281" s="6">
        <v>1</v>
      </c>
      <c r="T281" s="6">
        <v>1</v>
      </c>
      <c r="U281" s="6"/>
      <c r="V281" s="6">
        <v>1</v>
      </c>
      <c r="W281" s="6"/>
      <c r="X281" s="6"/>
      <c r="Y281" s="6"/>
      <c r="Z281" s="10">
        <v>3.44</v>
      </c>
      <c r="AA281" s="11" t="s">
        <v>1507</v>
      </c>
      <c r="AB281" s="3" t="s">
        <v>103</v>
      </c>
      <c r="AC281" s="11" t="s">
        <v>1508</v>
      </c>
      <c r="AD281" s="3" t="s">
        <v>1509</v>
      </c>
      <c r="AE281" s="11" t="s">
        <v>1510</v>
      </c>
    </row>
    <row r="282" spans="1:31" x14ac:dyDescent="0.25">
      <c r="A282" s="2" t="s">
        <v>1511</v>
      </c>
      <c r="B282" s="3" t="s">
        <v>34</v>
      </c>
      <c r="C282" s="3" t="s">
        <v>1429</v>
      </c>
      <c r="D282" s="4" t="s">
        <v>1473</v>
      </c>
      <c r="E282" s="3" t="s">
        <v>1512</v>
      </c>
      <c r="F282" s="3" t="s">
        <v>1513</v>
      </c>
      <c r="G282" s="4" t="s">
        <v>1514</v>
      </c>
      <c r="H282" s="3" t="s">
        <v>39</v>
      </c>
      <c r="I282" s="5">
        <v>47.987074</v>
      </c>
      <c r="J282" s="5">
        <v>7.0458540000000003</v>
      </c>
      <c r="K282" s="6">
        <v>1076</v>
      </c>
      <c r="L282" s="3" t="s">
        <v>1515</v>
      </c>
      <c r="M282" s="7">
        <v>1036</v>
      </c>
      <c r="N282" s="7">
        <v>1251</v>
      </c>
      <c r="O282" s="7">
        <f t="shared" si="4"/>
        <v>215</v>
      </c>
      <c r="P282" s="7">
        <v>1126</v>
      </c>
      <c r="Q282" s="8">
        <v>0</v>
      </c>
      <c r="R282" s="9">
        <v>8</v>
      </c>
      <c r="S282" s="6">
        <v>26</v>
      </c>
      <c r="T282" s="6">
        <v>8</v>
      </c>
      <c r="U282" s="6">
        <v>6</v>
      </c>
      <c r="V282" s="6">
        <v>4</v>
      </c>
      <c r="W282" s="6">
        <v>5</v>
      </c>
      <c r="X282" s="6">
        <v>7</v>
      </c>
      <c r="Y282" s="6">
        <v>4</v>
      </c>
      <c r="Z282" s="10">
        <v>0.08</v>
      </c>
      <c r="AA282" s="3"/>
      <c r="AB282" s="3"/>
      <c r="AC282" s="3"/>
      <c r="AD282" s="3" t="s">
        <v>1516</v>
      </c>
      <c r="AE282" s="11" t="s">
        <v>1517</v>
      </c>
    </row>
    <row r="283" spans="1:31" x14ac:dyDescent="0.25">
      <c r="A283" s="2" t="s">
        <v>1518</v>
      </c>
      <c r="B283" s="3" t="s">
        <v>34</v>
      </c>
      <c r="C283" s="3" t="s">
        <v>1429</v>
      </c>
      <c r="D283" s="4" t="s">
        <v>1429</v>
      </c>
      <c r="E283" s="3" t="s">
        <v>1519</v>
      </c>
      <c r="F283" s="3" t="s">
        <v>1518</v>
      </c>
      <c r="G283" s="4" t="s">
        <v>1520</v>
      </c>
      <c r="H283" s="3" t="s">
        <v>39</v>
      </c>
      <c r="I283" s="5">
        <v>47.939700000000002</v>
      </c>
      <c r="J283" s="5">
        <v>6.8712</v>
      </c>
      <c r="K283" s="6">
        <v>636</v>
      </c>
      <c r="L283" s="3" t="s">
        <v>1518</v>
      </c>
      <c r="M283" s="7">
        <v>935</v>
      </c>
      <c r="N283" s="7">
        <v>941</v>
      </c>
      <c r="O283" s="7">
        <f t="shared" si="4"/>
        <v>6</v>
      </c>
      <c r="P283" s="7">
        <v>940</v>
      </c>
      <c r="Q283" s="8">
        <v>0</v>
      </c>
      <c r="R283" s="9">
        <v>0.1</v>
      </c>
      <c r="S283" s="6">
        <v>1</v>
      </c>
      <c r="T283" s="6">
        <v>0</v>
      </c>
      <c r="U283" s="6"/>
      <c r="V283" s="6">
        <v>1</v>
      </c>
      <c r="W283" s="6"/>
      <c r="X283" s="6"/>
      <c r="Y283" s="6"/>
      <c r="Z283" s="10">
        <v>1.99</v>
      </c>
      <c r="AA283" s="11" t="s">
        <v>1521</v>
      </c>
      <c r="AB283" s="3" t="s">
        <v>103</v>
      </c>
      <c r="AC283" s="3"/>
      <c r="AD283" s="3" t="s">
        <v>1522</v>
      </c>
      <c r="AE283" s="11" t="s">
        <v>1523</v>
      </c>
    </row>
    <row r="284" spans="1:31" x14ac:dyDescent="0.25">
      <c r="A284" s="2" t="s">
        <v>1524</v>
      </c>
      <c r="B284" s="3" t="s">
        <v>34</v>
      </c>
      <c r="C284" s="3" t="s">
        <v>1429</v>
      </c>
      <c r="D284" s="4" t="s">
        <v>1429</v>
      </c>
      <c r="E284" s="3" t="s">
        <v>1440</v>
      </c>
      <c r="F284" s="3" t="s">
        <v>1525</v>
      </c>
      <c r="G284" s="4" t="s">
        <v>1526</v>
      </c>
      <c r="H284" s="3" t="s">
        <v>39</v>
      </c>
      <c r="I284" s="5">
        <v>48.069437000000001</v>
      </c>
      <c r="J284" s="5">
        <v>6.9466739999999998</v>
      </c>
      <c r="K284" s="6">
        <v>745</v>
      </c>
      <c r="L284" s="3" t="s">
        <v>1527</v>
      </c>
      <c r="M284" s="7">
        <v>909</v>
      </c>
      <c r="N284" s="7">
        <v>1116</v>
      </c>
      <c r="O284" s="7">
        <f t="shared" si="4"/>
        <v>207</v>
      </c>
      <c r="P284" s="7">
        <v>979</v>
      </c>
      <c r="Q284" s="8">
        <v>0</v>
      </c>
      <c r="R284" s="9">
        <v>3.3</v>
      </c>
      <c r="S284" s="6">
        <v>11</v>
      </c>
      <c r="T284" s="6">
        <v>5</v>
      </c>
      <c r="U284" s="6">
        <v>4</v>
      </c>
      <c r="V284" s="6">
        <v>4</v>
      </c>
      <c r="W284" s="6">
        <v>1</v>
      </c>
      <c r="X284" s="6">
        <v>1</v>
      </c>
      <c r="Y284" s="6">
        <v>1</v>
      </c>
      <c r="Z284" s="10">
        <v>1.92</v>
      </c>
      <c r="AA284" s="3"/>
      <c r="AB284" s="3"/>
      <c r="AC284" s="3"/>
      <c r="AD284" s="3" t="s">
        <v>1528</v>
      </c>
      <c r="AE284" s="11" t="s">
        <v>1529</v>
      </c>
    </row>
    <row r="285" spans="1:31" x14ac:dyDescent="0.25">
      <c r="A285" s="2" t="s">
        <v>1530</v>
      </c>
      <c r="B285" s="3" t="s">
        <v>34</v>
      </c>
      <c r="C285" s="3" t="s">
        <v>1429</v>
      </c>
      <c r="D285" s="4" t="s">
        <v>1531</v>
      </c>
      <c r="E285" s="3" t="s">
        <v>1532</v>
      </c>
      <c r="F285" s="3" t="s">
        <v>1533</v>
      </c>
      <c r="G285" s="4" t="s">
        <v>1534</v>
      </c>
      <c r="H285" s="3" t="s">
        <v>39</v>
      </c>
      <c r="I285" s="5">
        <v>47.774504999999998</v>
      </c>
      <c r="J285" s="5">
        <v>6.7787319999999998</v>
      </c>
      <c r="K285" s="6">
        <v>990</v>
      </c>
      <c r="L285" s="3" t="s">
        <v>1535</v>
      </c>
      <c r="M285" s="7">
        <v>983</v>
      </c>
      <c r="N285" s="7">
        <v>1147</v>
      </c>
      <c r="O285" s="7">
        <f t="shared" si="4"/>
        <v>164</v>
      </c>
      <c r="P285" s="7">
        <v>1035</v>
      </c>
      <c r="Q285" s="8">
        <v>0</v>
      </c>
      <c r="R285" s="9">
        <v>2.8</v>
      </c>
      <c r="S285" s="6">
        <v>7</v>
      </c>
      <c r="T285" s="6">
        <v>4</v>
      </c>
      <c r="U285" s="6">
        <v>1</v>
      </c>
      <c r="V285" s="6">
        <v>4</v>
      </c>
      <c r="W285" s="6">
        <v>1</v>
      </c>
      <c r="X285" s="6">
        <v>1</v>
      </c>
      <c r="Y285" s="6"/>
      <c r="Z285" s="10">
        <v>0.04</v>
      </c>
      <c r="AA285" s="3"/>
      <c r="AB285" s="3"/>
      <c r="AC285" s="3"/>
      <c r="AD285" s="3" t="s">
        <v>1536</v>
      </c>
      <c r="AE285" s="11" t="s">
        <v>1537</v>
      </c>
    </row>
  </sheetData>
  <autoFilter ref="A1:AE286" xr:uid="{00000000-0009-0000-0000-000000000000}"/>
  <hyperlinks>
    <hyperlink ref="AE2" r:id="rId1" xr:uid="{00000000-0004-0000-0000-000001000000}"/>
    <hyperlink ref="AE3" r:id="rId2" xr:uid="{00000000-0004-0000-0000-000003000000}"/>
    <hyperlink ref="AA4" r:id="rId3" xr:uid="{00000000-0004-0000-0000-000005000000}"/>
    <hyperlink ref="AA5" r:id="rId4" xr:uid="{00000000-0004-0000-0000-000007000000}"/>
    <hyperlink ref="AC5" r:id="rId5" xr:uid="{00000000-0004-0000-0000-000008000000}"/>
    <hyperlink ref="AE5" r:id="rId6" xr:uid="{00000000-0004-0000-0000-000009000000}"/>
    <hyperlink ref="AA6" r:id="rId7" xr:uid="{00000000-0004-0000-0000-00000B000000}"/>
    <hyperlink ref="AC6" r:id="rId8" xr:uid="{00000000-0004-0000-0000-00000C000000}"/>
    <hyperlink ref="AE6" r:id="rId9" xr:uid="{00000000-0004-0000-0000-00000D000000}"/>
    <hyperlink ref="AA7" r:id="rId10" xr:uid="{00000000-0004-0000-0000-00000F000000}"/>
    <hyperlink ref="AC7" r:id="rId11" xr:uid="{00000000-0004-0000-0000-000010000000}"/>
    <hyperlink ref="AE7" r:id="rId12" xr:uid="{00000000-0004-0000-0000-000011000000}"/>
    <hyperlink ref="AA8" r:id="rId13" xr:uid="{00000000-0004-0000-0000-000013000000}"/>
    <hyperlink ref="AA9" r:id="rId14" xr:uid="{00000000-0004-0000-0000-000015000000}"/>
    <hyperlink ref="AA10" r:id="rId15" xr:uid="{00000000-0004-0000-0000-000017000000}"/>
    <hyperlink ref="AA11" r:id="rId16" xr:uid="{00000000-0004-0000-0000-000019000000}"/>
    <hyperlink ref="AA12" r:id="rId17" xr:uid="{00000000-0004-0000-0000-00001B000000}"/>
    <hyperlink ref="AC12" r:id="rId18" xr:uid="{00000000-0004-0000-0000-00001C000000}"/>
    <hyperlink ref="AE12" r:id="rId19" xr:uid="{00000000-0004-0000-0000-00001D000000}"/>
    <hyperlink ref="AE13" r:id="rId20" xr:uid="{00000000-0004-0000-0000-00001F000000}"/>
    <hyperlink ref="AE14" r:id="rId21" xr:uid="{00000000-0004-0000-0000-000021000000}"/>
    <hyperlink ref="AA15" r:id="rId22" xr:uid="{00000000-0004-0000-0000-000023000000}"/>
    <hyperlink ref="AC15" r:id="rId23" xr:uid="{00000000-0004-0000-0000-000024000000}"/>
    <hyperlink ref="AE15" r:id="rId24" xr:uid="{00000000-0004-0000-0000-000025000000}"/>
    <hyperlink ref="AE16" r:id="rId25" xr:uid="{00000000-0004-0000-0000-000027000000}"/>
    <hyperlink ref="AA17" r:id="rId26" xr:uid="{00000000-0004-0000-0000-000029000000}"/>
    <hyperlink ref="AE17" r:id="rId27" xr:uid="{00000000-0004-0000-0000-00002A000000}"/>
    <hyperlink ref="AA18" r:id="rId28" xr:uid="{00000000-0004-0000-0000-00002C000000}"/>
    <hyperlink ref="AA19" r:id="rId29" xr:uid="{00000000-0004-0000-0000-00002E000000}"/>
    <hyperlink ref="AC19" r:id="rId30" xr:uid="{00000000-0004-0000-0000-00002F000000}"/>
    <hyperlink ref="AE19" r:id="rId31" xr:uid="{00000000-0004-0000-0000-000030000000}"/>
    <hyperlink ref="AE20" r:id="rId32" xr:uid="{00000000-0004-0000-0000-000032000000}"/>
    <hyperlink ref="AA21" r:id="rId33" xr:uid="{00000000-0004-0000-0000-000033000000}"/>
    <hyperlink ref="AA22" r:id="rId34" xr:uid="{00000000-0004-0000-0000-000035000000}"/>
    <hyperlink ref="AC22" r:id="rId35" xr:uid="{00000000-0004-0000-0000-000036000000}"/>
    <hyperlink ref="AE22" r:id="rId36" xr:uid="{00000000-0004-0000-0000-000037000000}"/>
    <hyperlink ref="AA23" r:id="rId37" xr:uid="{00000000-0004-0000-0000-000039000000}"/>
    <hyperlink ref="AC23" r:id="rId38" xr:uid="{00000000-0004-0000-0000-00003A000000}"/>
    <hyperlink ref="AE23" r:id="rId39" xr:uid="{00000000-0004-0000-0000-00003B000000}"/>
    <hyperlink ref="AA24" r:id="rId40" xr:uid="{00000000-0004-0000-0000-00003D000000}"/>
    <hyperlink ref="AE24" r:id="rId41" xr:uid="{00000000-0004-0000-0000-00003E000000}"/>
    <hyperlink ref="AA25" r:id="rId44" xr:uid="{00000000-0004-0000-0000-000042000000}"/>
    <hyperlink ref="AC25" r:id="rId45" xr:uid="{00000000-0004-0000-0000-000043000000}"/>
    <hyperlink ref="AE25" r:id="rId46" xr:uid="{00000000-0004-0000-0000-000044000000}"/>
    <hyperlink ref="AA26" r:id="rId47" xr:uid="{00000000-0004-0000-0000-000046000000}"/>
    <hyperlink ref="AC26" r:id="rId48" xr:uid="{00000000-0004-0000-0000-000047000000}"/>
    <hyperlink ref="AE26" r:id="rId49" xr:uid="{00000000-0004-0000-0000-000048000000}"/>
    <hyperlink ref="AA27" r:id="rId50" xr:uid="{00000000-0004-0000-0000-000049000000}"/>
    <hyperlink ref="AA28" r:id="rId51" xr:uid="{00000000-0004-0000-0000-00004A000000}"/>
    <hyperlink ref="AE29" r:id="rId52" xr:uid="{00000000-0004-0000-0000-00004C000000}"/>
    <hyperlink ref="AE30" r:id="rId53" xr:uid="{00000000-0004-0000-0000-00004E000000}"/>
    <hyperlink ref="AE31" r:id="rId54" xr:uid="{00000000-0004-0000-0000-000050000000}"/>
    <hyperlink ref="AE32" r:id="rId55" xr:uid="{00000000-0004-0000-0000-000052000000}"/>
    <hyperlink ref="AE33" r:id="rId56" xr:uid="{00000000-0004-0000-0000-000054000000}"/>
    <hyperlink ref="AA34" r:id="rId57" xr:uid="{00000000-0004-0000-0000-000056000000}"/>
    <hyperlink ref="AC34" r:id="rId58" xr:uid="{00000000-0004-0000-0000-000057000000}"/>
    <hyperlink ref="AE34" r:id="rId59" xr:uid="{00000000-0004-0000-0000-000058000000}"/>
    <hyperlink ref="AE35" r:id="rId60" xr:uid="{00000000-0004-0000-0000-00005A000000}"/>
    <hyperlink ref="AA36" r:id="rId61" xr:uid="{00000000-0004-0000-0000-00005C000000}"/>
    <hyperlink ref="AC36" r:id="rId62" xr:uid="{00000000-0004-0000-0000-00005D000000}"/>
    <hyperlink ref="AE36" r:id="rId63" xr:uid="{00000000-0004-0000-0000-00005E000000}"/>
    <hyperlink ref="AA37" r:id="rId64" xr:uid="{00000000-0004-0000-0000-000060000000}"/>
    <hyperlink ref="AA38" r:id="rId65" xr:uid="{00000000-0004-0000-0000-000062000000}"/>
    <hyperlink ref="AA39" r:id="rId66" xr:uid="{00000000-0004-0000-0000-000064000000}"/>
    <hyperlink ref="AA40" r:id="rId67" xr:uid="{00000000-0004-0000-0000-000066000000}"/>
    <hyperlink ref="AC40" r:id="rId68" xr:uid="{00000000-0004-0000-0000-000067000000}"/>
    <hyperlink ref="AE40" r:id="rId69" xr:uid="{00000000-0004-0000-0000-000068000000}"/>
    <hyperlink ref="AE41" r:id="rId70" xr:uid="{00000000-0004-0000-0000-00006A000000}"/>
    <hyperlink ref="AE42" r:id="rId71" xr:uid="{00000000-0004-0000-0000-00006C000000}"/>
    <hyperlink ref="AA43" r:id="rId72" xr:uid="{00000000-0004-0000-0000-00006E000000}"/>
    <hyperlink ref="AE43" r:id="rId73" xr:uid="{00000000-0004-0000-0000-00006F000000}"/>
    <hyperlink ref="AE44" r:id="rId74" xr:uid="{00000000-0004-0000-0000-000071000000}"/>
    <hyperlink ref="AE45" r:id="rId75" xr:uid="{00000000-0004-0000-0000-000073000000}"/>
    <hyperlink ref="AE46" r:id="rId76" xr:uid="{00000000-0004-0000-0000-000075000000}"/>
    <hyperlink ref="AE47" r:id="rId77" xr:uid="{00000000-0004-0000-0000-000077000000}"/>
    <hyperlink ref="AE48" r:id="rId78" xr:uid="{00000000-0004-0000-0000-000079000000}"/>
    <hyperlink ref="AE49" r:id="rId79" xr:uid="{00000000-0004-0000-0000-00007B000000}"/>
    <hyperlink ref="AA50" r:id="rId80" xr:uid="{00000000-0004-0000-0000-00007D000000}"/>
    <hyperlink ref="AC50" r:id="rId81" xr:uid="{00000000-0004-0000-0000-00007E000000}"/>
    <hyperlink ref="AE50" r:id="rId82" xr:uid="{00000000-0004-0000-0000-00007F000000}"/>
    <hyperlink ref="AA51" r:id="rId83" xr:uid="{00000000-0004-0000-0000-000081000000}"/>
    <hyperlink ref="AA52" r:id="rId84" xr:uid="{00000000-0004-0000-0000-000082000000}"/>
    <hyperlink ref="AC52" r:id="rId85" xr:uid="{00000000-0004-0000-0000-000083000000}"/>
    <hyperlink ref="AE52" r:id="rId86" xr:uid="{00000000-0004-0000-0000-000084000000}"/>
    <hyperlink ref="AE53" r:id="rId87" xr:uid="{00000000-0004-0000-0000-000086000000}"/>
    <hyperlink ref="AA54" r:id="rId88" xr:uid="{00000000-0004-0000-0000-000088000000}"/>
    <hyperlink ref="AC54" r:id="rId89" xr:uid="{00000000-0004-0000-0000-000089000000}"/>
    <hyperlink ref="AE54" r:id="rId90" xr:uid="{00000000-0004-0000-0000-00008A000000}"/>
    <hyperlink ref="AA55" r:id="rId91" xr:uid="{00000000-0004-0000-0000-00008C000000}"/>
    <hyperlink ref="AC55" r:id="rId92" xr:uid="{00000000-0004-0000-0000-00008D000000}"/>
    <hyperlink ref="AE55" r:id="rId93" xr:uid="{00000000-0004-0000-0000-00008E000000}"/>
    <hyperlink ref="AA56" r:id="rId94" xr:uid="{00000000-0004-0000-0000-000090000000}"/>
    <hyperlink ref="AE56" r:id="rId95" xr:uid="{00000000-0004-0000-0000-000091000000}"/>
    <hyperlink ref="AA57" r:id="rId96" xr:uid="{00000000-0004-0000-0000-000093000000}"/>
    <hyperlink ref="AC57" r:id="rId97" xr:uid="{00000000-0004-0000-0000-000094000000}"/>
    <hyperlink ref="AE57" r:id="rId98" xr:uid="{00000000-0004-0000-0000-000095000000}"/>
    <hyperlink ref="AA58" r:id="rId99" xr:uid="{00000000-0004-0000-0000-000099000000}"/>
    <hyperlink ref="AA59" r:id="rId100" xr:uid="{00000000-0004-0000-0000-00009B000000}"/>
    <hyperlink ref="AE59" r:id="rId101" xr:uid="{00000000-0004-0000-0000-00009C000000}"/>
    <hyperlink ref="AA60" r:id="rId102" xr:uid="{00000000-0004-0000-0000-00009E000000}"/>
    <hyperlink ref="AE60" r:id="rId103" xr:uid="{00000000-0004-0000-0000-00009F000000}"/>
    <hyperlink ref="AA61" r:id="rId104" xr:uid="{00000000-0004-0000-0000-0000A0000000}"/>
    <hyperlink ref="AA62" r:id="rId105" xr:uid="{00000000-0004-0000-0000-0000A1000000}"/>
    <hyperlink ref="AE63" r:id="rId106" xr:uid="{00000000-0004-0000-0000-0000A3000000}"/>
    <hyperlink ref="AA65" r:id="rId107" xr:uid="{00000000-0004-0000-0000-0000A5000000}"/>
    <hyperlink ref="AA66" r:id="rId108" xr:uid="{00000000-0004-0000-0000-0000A6000000}"/>
    <hyperlink ref="AE66" r:id="rId109" xr:uid="{00000000-0004-0000-0000-0000A7000000}"/>
    <hyperlink ref="AA67" r:id="rId110" xr:uid="{00000000-0004-0000-0000-0000A8000000}"/>
    <hyperlink ref="AE67" r:id="rId111" xr:uid="{00000000-0004-0000-0000-0000A9000000}"/>
    <hyperlink ref="AA68" r:id="rId112" xr:uid="{00000000-0004-0000-0000-0000AB000000}"/>
    <hyperlink ref="AC68" r:id="rId113" xr:uid="{00000000-0004-0000-0000-0000AC000000}"/>
    <hyperlink ref="AE68" r:id="rId114" xr:uid="{00000000-0004-0000-0000-0000AD000000}"/>
    <hyperlink ref="AA69" r:id="rId115" xr:uid="{00000000-0004-0000-0000-0000AF000000}"/>
    <hyperlink ref="AA70" r:id="rId116" xr:uid="{00000000-0004-0000-0000-0000B1000000}"/>
    <hyperlink ref="AC70" r:id="rId117" xr:uid="{00000000-0004-0000-0000-0000B2000000}"/>
    <hyperlink ref="AE70" r:id="rId118" xr:uid="{00000000-0004-0000-0000-0000B3000000}"/>
    <hyperlink ref="AE71" r:id="rId119" xr:uid="{00000000-0004-0000-0000-0000B5000000}"/>
    <hyperlink ref="AE72" r:id="rId120" xr:uid="{00000000-0004-0000-0000-0000B7000000}"/>
    <hyperlink ref="AA73" r:id="rId121" xr:uid="{00000000-0004-0000-0000-0000B8000000}"/>
    <hyperlink ref="AE74" r:id="rId122" xr:uid="{00000000-0004-0000-0000-0000BA000000}"/>
    <hyperlink ref="AE75" r:id="rId123" xr:uid="{00000000-0004-0000-0000-0000BC000000}"/>
    <hyperlink ref="AA76" r:id="rId124" xr:uid="{00000000-0004-0000-0000-0000BD000000}"/>
    <hyperlink ref="AA77" r:id="rId125" xr:uid="{00000000-0004-0000-0000-0000BF000000}"/>
    <hyperlink ref="AC77" r:id="rId126" xr:uid="{00000000-0004-0000-0000-0000C0000000}"/>
    <hyperlink ref="AE77" r:id="rId127" xr:uid="{00000000-0004-0000-0000-0000C1000000}"/>
    <hyperlink ref="AA78" r:id="rId128" xr:uid="{00000000-0004-0000-0000-0000C3000000}"/>
    <hyperlink ref="AC78" r:id="rId129" xr:uid="{00000000-0004-0000-0000-0000C4000000}"/>
    <hyperlink ref="AE78" r:id="rId130" xr:uid="{00000000-0004-0000-0000-0000C5000000}"/>
    <hyperlink ref="AA79" r:id="rId131" xr:uid="{00000000-0004-0000-0000-0000C7000000}"/>
    <hyperlink ref="AE79" r:id="rId132" xr:uid="{00000000-0004-0000-0000-0000C8000000}"/>
    <hyperlink ref="AA80" r:id="rId133" xr:uid="{00000000-0004-0000-0000-0000C9000000}"/>
    <hyperlink ref="AE81" r:id="rId134" xr:uid="{00000000-0004-0000-0000-0000CB000000}"/>
    <hyperlink ref="AA82" r:id="rId135" xr:uid="{00000000-0004-0000-0000-0000CD000000}"/>
    <hyperlink ref="AE82" r:id="rId136" xr:uid="{00000000-0004-0000-0000-0000CE000000}"/>
    <hyperlink ref="AA83" r:id="rId137" xr:uid="{00000000-0004-0000-0000-0000D0000000}"/>
    <hyperlink ref="AA84" r:id="rId138" xr:uid="{00000000-0004-0000-0000-0000D2000000}"/>
    <hyperlink ref="AC84" r:id="rId139" xr:uid="{00000000-0004-0000-0000-0000D3000000}"/>
    <hyperlink ref="AE84" r:id="rId140" xr:uid="{00000000-0004-0000-0000-0000D4000000}"/>
    <hyperlink ref="AE85" r:id="rId141" xr:uid="{00000000-0004-0000-0000-0000D6000000}"/>
    <hyperlink ref="AA86" r:id="rId142" xr:uid="{00000000-0004-0000-0000-0000D8000000}"/>
    <hyperlink ref="AC86" r:id="rId143" xr:uid="{00000000-0004-0000-0000-0000D9000000}"/>
    <hyperlink ref="AE86" r:id="rId144" xr:uid="{00000000-0004-0000-0000-0000DA000000}"/>
    <hyperlink ref="AA87" r:id="rId145" xr:uid="{00000000-0004-0000-0000-0000DC000000}"/>
    <hyperlink ref="AC87" r:id="rId146" xr:uid="{00000000-0004-0000-0000-0000DD000000}"/>
    <hyperlink ref="AE87" r:id="rId147" xr:uid="{00000000-0004-0000-0000-0000DE000000}"/>
    <hyperlink ref="AA88" r:id="rId148" xr:uid="{00000000-0004-0000-0000-0000E0000000}"/>
    <hyperlink ref="AC88" r:id="rId149" xr:uid="{00000000-0004-0000-0000-0000E1000000}"/>
    <hyperlink ref="AE88" r:id="rId150" xr:uid="{00000000-0004-0000-0000-0000E2000000}"/>
    <hyperlink ref="AA89" r:id="rId151" xr:uid="{00000000-0004-0000-0000-0000E4000000}"/>
    <hyperlink ref="AC89" r:id="rId152" xr:uid="{00000000-0004-0000-0000-0000E5000000}"/>
    <hyperlink ref="AE89" r:id="rId153" xr:uid="{00000000-0004-0000-0000-0000E6000000}"/>
    <hyperlink ref="AE90" r:id="rId154" xr:uid="{00000000-0004-0000-0000-0000E8000000}"/>
    <hyperlink ref="AE91" r:id="rId155" xr:uid="{00000000-0004-0000-0000-0000EA000000}"/>
    <hyperlink ref="AE92" r:id="rId156" xr:uid="{00000000-0004-0000-0000-0000EC000000}"/>
    <hyperlink ref="AE93" r:id="rId157" xr:uid="{00000000-0004-0000-0000-0000EE000000}"/>
    <hyperlink ref="AE94" r:id="rId158" xr:uid="{00000000-0004-0000-0000-0000F0000000}"/>
    <hyperlink ref="AA95" r:id="rId159" xr:uid="{00000000-0004-0000-0000-0000F2000000}"/>
    <hyperlink ref="AC95" r:id="rId160" xr:uid="{00000000-0004-0000-0000-0000F3000000}"/>
    <hyperlink ref="AE95" r:id="rId161" xr:uid="{00000000-0004-0000-0000-0000F4000000}"/>
    <hyperlink ref="AE96" r:id="rId162" xr:uid="{00000000-0004-0000-0000-0000F6000000}"/>
    <hyperlink ref="AA97" r:id="rId163" xr:uid="{00000000-0004-0000-0000-0000F8000000}"/>
    <hyperlink ref="AC97" r:id="rId164" xr:uid="{00000000-0004-0000-0000-0000F9000000}"/>
    <hyperlink ref="AE97" r:id="rId165" xr:uid="{00000000-0004-0000-0000-0000FA000000}"/>
    <hyperlink ref="AE98" r:id="rId166" xr:uid="{00000000-0004-0000-0000-0000FC000000}"/>
    <hyperlink ref="AA99" r:id="rId167" xr:uid="{00000000-0004-0000-0000-0000FE000000}"/>
    <hyperlink ref="AE99" r:id="rId168" xr:uid="{00000000-0004-0000-0000-0000FF000000}"/>
    <hyperlink ref="AE100" r:id="rId169" xr:uid="{00000000-0004-0000-0000-000001010000}"/>
    <hyperlink ref="AE101" r:id="rId170" xr:uid="{00000000-0004-0000-0000-000003010000}"/>
    <hyperlink ref="AA102" r:id="rId171" xr:uid="{00000000-0004-0000-0000-000005010000}"/>
    <hyperlink ref="AA103" r:id="rId172" xr:uid="{00000000-0004-0000-0000-000007010000}"/>
    <hyperlink ref="AE104" r:id="rId173" xr:uid="{00000000-0004-0000-0000-000009010000}"/>
    <hyperlink ref="AA105" r:id="rId174" xr:uid="{00000000-0004-0000-0000-00000B010000}"/>
    <hyperlink ref="AC105" r:id="rId175" xr:uid="{00000000-0004-0000-0000-00000C010000}"/>
    <hyperlink ref="AE105" r:id="rId176" xr:uid="{00000000-0004-0000-0000-00000D010000}"/>
    <hyperlink ref="AE106" r:id="rId177" xr:uid="{00000000-0004-0000-0000-00000F010000}"/>
    <hyperlink ref="AA107" r:id="rId178" xr:uid="{00000000-0004-0000-0000-000011010000}"/>
    <hyperlink ref="AE107" r:id="rId179" xr:uid="{00000000-0004-0000-0000-000012010000}"/>
    <hyperlink ref="AA108" r:id="rId180" xr:uid="{00000000-0004-0000-0000-000014010000}"/>
    <hyperlink ref="AE108" r:id="rId181" xr:uid="{00000000-0004-0000-0000-000015010000}"/>
    <hyperlink ref="AA109" r:id="rId182" xr:uid="{00000000-0004-0000-0000-000017010000}"/>
    <hyperlink ref="AE109" r:id="rId183" xr:uid="{00000000-0004-0000-0000-000018010000}"/>
    <hyperlink ref="AA110" r:id="rId184" xr:uid="{00000000-0004-0000-0000-00001A010000}"/>
    <hyperlink ref="AC110" r:id="rId185" xr:uid="{00000000-0004-0000-0000-00001B010000}"/>
    <hyperlink ref="AE110" r:id="rId186" xr:uid="{00000000-0004-0000-0000-00001C010000}"/>
    <hyperlink ref="AA111" r:id="rId187" xr:uid="{00000000-0004-0000-0000-00001D010000}"/>
    <hyperlink ref="AA112" r:id="rId188" xr:uid="{00000000-0004-0000-0000-00001F010000}"/>
    <hyperlink ref="AA113" r:id="rId189" xr:uid="{00000000-0004-0000-0000-000021010000}"/>
    <hyperlink ref="AA114" r:id="rId190" xr:uid="{00000000-0004-0000-0000-000023010000}"/>
    <hyperlink ref="AA115" r:id="rId191" xr:uid="{00000000-0004-0000-0000-000025010000}"/>
    <hyperlink ref="AA116" r:id="rId192" xr:uid="{00000000-0004-0000-0000-000027010000}"/>
    <hyperlink ref="AE117" r:id="rId193" xr:uid="{00000000-0004-0000-0000-000029010000}"/>
    <hyperlink ref="AA118" r:id="rId194" xr:uid="{00000000-0004-0000-0000-00002B010000}"/>
    <hyperlink ref="AC118" r:id="rId195" xr:uid="{00000000-0004-0000-0000-00002C010000}"/>
    <hyperlink ref="AE118" r:id="rId196" xr:uid="{00000000-0004-0000-0000-00002D010000}"/>
    <hyperlink ref="AA119" r:id="rId197" xr:uid="{00000000-0004-0000-0000-00002E010000}"/>
    <hyperlink ref="AE120" r:id="rId198" xr:uid="{00000000-0004-0000-0000-000030010000}"/>
    <hyperlink ref="AA121" r:id="rId199" xr:uid="{00000000-0004-0000-0000-000031010000}"/>
    <hyperlink ref="AA122" r:id="rId200" xr:uid="{00000000-0004-0000-0000-000033010000}"/>
    <hyperlink ref="AE122" r:id="rId201" xr:uid="{00000000-0004-0000-0000-000034010000}"/>
    <hyperlink ref="AA123" r:id="rId202" xr:uid="{00000000-0004-0000-0000-000036010000}"/>
    <hyperlink ref="AC123" r:id="rId203" xr:uid="{00000000-0004-0000-0000-000037010000}"/>
    <hyperlink ref="AE123" r:id="rId204" xr:uid="{00000000-0004-0000-0000-000038010000}"/>
    <hyperlink ref="AE124" r:id="rId205" xr:uid="{00000000-0004-0000-0000-00003A010000}"/>
    <hyperlink ref="AA125" r:id="rId206" xr:uid="{00000000-0004-0000-0000-00003C010000}"/>
    <hyperlink ref="AC125" r:id="rId207" xr:uid="{00000000-0004-0000-0000-00003D010000}"/>
    <hyperlink ref="AE125" r:id="rId208" xr:uid="{00000000-0004-0000-0000-00003E010000}"/>
    <hyperlink ref="AA126" r:id="rId209" xr:uid="{00000000-0004-0000-0000-000040010000}"/>
    <hyperlink ref="AC126" r:id="rId210" xr:uid="{00000000-0004-0000-0000-000041010000}"/>
    <hyperlink ref="AE126" r:id="rId211" xr:uid="{00000000-0004-0000-0000-000042010000}"/>
    <hyperlink ref="AE127" r:id="rId212" xr:uid="{00000000-0004-0000-0000-000044010000}"/>
    <hyperlink ref="AE128" r:id="rId213" xr:uid="{00000000-0004-0000-0000-000046010000}"/>
    <hyperlink ref="AA129" r:id="rId214" xr:uid="{00000000-0004-0000-0000-000048010000}"/>
    <hyperlink ref="AE129" r:id="rId215" xr:uid="{00000000-0004-0000-0000-000049010000}"/>
    <hyperlink ref="AE130" r:id="rId216" xr:uid="{00000000-0004-0000-0000-00004B010000}"/>
    <hyperlink ref="AE131" r:id="rId217" xr:uid="{00000000-0004-0000-0000-00004D010000}"/>
    <hyperlink ref="AA132" r:id="rId218" xr:uid="{00000000-0004-0000-0000-000051010000}"/>
    <hyperlink ref="AC132" r:id="rId219" xr:uid="{00000000-0004-0000-0000-000052010000}"/>
    <hyperlink ref="AE132" r:id="rId220" xr:uid="{00000000-0004-0000-0000-000053010000}"/>
    <hyperlink ref="AA133" r:id="rId221" xr:uid="{00000000-0004-0000-0000-000054010000}"/>
    <hyperlink ref="AE134" r:id="rId222" xr:uid="{00000000-0004-0000-0000-000056010000}"/>
    <hyperlink ref="AA135" r:id="rId223" xr:uid="{00000000-0004-0000-0000-000057010000}"/>
    <hyperlink ref="AE136" r:id="rId224" xr:uid="{00000000-0004-0000-0000-000059010000}"/>
    <hyperlink ref="AE137" r:id="rId225" xr:uid="{00000000-0004-0000-0000-00005B010000}"/>
    <hyperlink ref="AA138" r:id="rId226" xr:uid="{00000000-0004-0000-0000-00005D010000}"/>
    <hyperlink ref="AA139" r:id="rId227" xr:uid="{00000000-0004-0000-0000-00005F010000}"/>
    <hyperlink ref="AC139" r:id="rId228" xr:uid="{00000000-0004-0000-0000-000060010000}"/>
    <hyperlink ref="AE139" r:id="rId229" xr:uid="{00000000-0004-0000-0000-000061010000}"/>
    <hyperlink ref="AA140" r:id="rId230" xr:uid="{00000000-0004-0000-0000-000063010000}"/>
    <hyperlink ref="AE140" r:id="rId231" xr:uid="{00000000-0004-0000-0000-000064010000}"/>
    <hyperlink ref="AA141" r:id="rId232" xr:uid="{00000000-0004-0000-0000-000066010000}"/>
    <hyperlink ref="AA142" r:id="rId233" xr:uid="{00000000-0004-0000-0000-000068010000}"/>
    <hyperlink ref="AA143" r:id="rId234" xr:uid="{00000000-0004-0000-0000-00006A010000}"/>
    <hyperlink ref="AA144" r:id="rId235" xr:uid="{00000000-0004-0000-0000-00006C010000}"/>
    <hyperlink ref="AA145" r:id="rId236" xr:uid="{00000000-0004-0000-0000-00006E010000}"/>
    <hyperlink ref="AC145" r:id="rId237" xr:uid="{00000000-0004-0000-0000-00006F010000}"/>
    <hyperlink ref="AE145" r:id="rId238" xr:uid="{00000000-0004-0000-0000-000070010000}"/>
    <hyperlink ref="AA146" r:id="rId239" xr:uid="{00000000-0004-0000-0000-000072010000}"/>
    <hyperlink ref="AC146" r:id="rId240" xr:uid="{00000000-0004-0000-0000-000073010000}"/>
    <hyperlink ref="AE146" r:id="rId241" xr:uid="{00000000-0004-0000-0000-000074010000}"/>
    <hyperlink ref="AA147" r:id="rId242" xr:uid="{00000000-0004-0000-0000-000076010000}"/>
    <hyperlink ref="AC147" r:id="rId243" xr:uid="{00000000-0004-0000-0000-000077010000}"/>
    <hyperlink ref="AE147" r:id="rId244" xr:uid="{00000000-0004-0000-0000-000078010000}"/>
    <hyperlink ref="AA148" r:id="rId245" xr:uid="{00000000-0004-0000-0000-00007C010000}"/>
    <hyperlink ref="AE148" r:id="rId246" xr:uid="{00000000-0004-0000-0000-00007D010000}"/>
    <hyperlink ref="AA149" r:id="rId247" xr:uid="{00000000-0004-0000-0000-00007F010000}"/>
    <hyperlink ref="AC149" r:id="rId248" xr:uid="{00000000-0004-0000-0000-000080010000}"/>
    <hyperlink ref="AE149" r:id="rId249" xr:uid="{00000000-0004-0000-0000-000081010000}"/>
    <hyperlink ref="AA150" r:id="rId250" xr:uid="{00000000-0004-0000-0000-000083010000}"/>
    <hyperlink ref="AE150" r:id="rId251" xr:uid="{00000000-0004-0000-0000-000084010000}"/>
    <hyperlink ref="AA151" r:id="rId252" xr:uid="{00000000-0004-0000-0000-000086010000}"/>
    <hyperlink ref="AC151" r:id="rId253" xr:uid="{00000000-0004-0000-0000-000087010000}"/>
    <hyperlink ref="AE151" r:id="rId254" xr:uid="{00000000-0004-0000-0000-000088010000}"/>
    <hyperlink ref="AA152" r:id="rId255" xr:uid="{00000000-0004-0000-0000-000089010000}"/>
    <hyperlink ref="AC152" r:id="rId256" xr:uid="{00000000-0004-0000-0000-00008A010000}"/>
    <hyperlink ref="AE152" r:id="rId257" xr:uid="{00000000-0004-0000-0000-00008B010000}"/>
    <hyperlink ref="AA153" r:id="rId258" xr:uid="{00000000-0004-0000-0000-00008D010000}"/>
    <hyperlink ref="AC153" r:id="rId259" xr:uid="{00000000-0004-0000-0000-00008E010000}"/>
    <hyperlink ref="AE153" r:id="rId260" xr:uid="{00000000-0004-0000-0000-00008F010000}"/>
    <hyperlink ref="AA154" r:id="rId261" xr:uid="{00000000-0004-0000-0000-000091010000}"/>
    <hyperlink ref="AC154" r:id="rId262" xr:uid="{00000000-0004-0000-0000-000092010000}"/>
    <hyperlink ref="AE154" r:id="rId263" xr:uid="{00000000-0004-0000-0000-000093010000}"/>
    <hyperlink ref="AE155" r:id="rId264" xr:uid="{00000000-0004-0000-0000-000095010000}"/>
    <hyperlink ref="AA156" r:id="rId265" xr:uid="{00000000-0004-0000-0000-000097010000}"/>
    <hyperlink ref="AE156" r:id="rId266" xr:uid="{00000000-0004-0000-0000-000098010000}"/>
    <hyperlink ref="AE157" r:id="rId267" xr:uid="{00000000-0004-0000-0000-00009A010000}"/>
    <hyperlink ref="AE158" r:id="rId268" xr:uid="{00000000-0004-0000-0000-00009C010000}"/>
    <hyperlink ref="AE159" r:id="rId269" xr:uid="{00000000-0004-0000-0000-00009E010000}"/>
    <hyperlink ref="AE160" r:id="rId270" xr:uid="{00000000-0004-0000-0000-0000A0010000}"/>
    <hyperlink ref="AA161" r:id="rId271" xr:uid="{00000000-0004-0000-0000-0000A2010000}"/>
    <hyperlink ref="AC161" r:id="rId272" xr:uid="{00000000-0004-0000-0000-0000A3010000}"/>
    <hyperlink ref="AE161" r:id="rId273" xr:uid="{00000000-0004-0000-0000-0000A4010000}"/>
    <hyperlink ref="AE162" r:id="rId274" xr:uid="{00000000-0004-0000-0000-0000A6010000}"/>
    <hyperlink ref="AA163" r:id="rId275" xr:uid="{00000000-0004-0000-0000-0000A8010000}"/>
    <hyperlink ref="AC163" r:id="rId276" xr:uid="{00000000-0004-0000-0000-0000A9010000}"/>
    <hyperlink ref="AE163" r:id="rId277" xr:uid="{00000000-0004-0000-0000-0000AA010000}"/>
    <hyperlink ref="AE164" r:id="rId278" xr:uid="{00000000-0004-0000-0000-0000AC010000}"/>
    <hyperlink ref="AA165" r:id="rId279" xr:uid="{00000000-0004-0000-0000-0000AE010000}"/>
    <hyperlink ref="AE165" r:id="rId280" xr:uid="{00000000-0004-0000-0000-0000AF010000}"/>
    <hyperlink ref="AA166" r:id="rId281" xr:uid="{00000000-0004-0000-0000-0000B1010000}"/>
    <hyperlink ref="AC166" r:id="rId282" xr:uid="{00000000-0004-0000-0000-0000B2010000}"/>
    <hyperlink ref="AE166" r:id="rId283" xr:uid="{00000000-0004-0000-0000-0000B3010000}"/>
    <hyperlink ref="AA167" r:id="rId284" xr:uid="{00000000-0004-0000-0000-0000B5010000}"/>
    <hyperlink ref="AC167" r:id="rId285" xr:uid="{00000000-0004-0000-0000-0000B6010000}"/>
    <hyperlink ref="AE167" r:id="rId286" xr:uid="{00000000-0004-0000-0000-0000B7010000}"/>
    <hyperlink ref="AA168" r:id="rId287" xr:uid="{00000000-0004-0000-0000-0000B9010000}"/>
    <hyperlink ref="AE169" r:id="rId288" xr:uid="{00000000-0004-0000-0000-0000BB010000}"/>
    <hyperlink ref="AA170" r:id="rId289" xr:uid="{00000000-0004-0000-0000-0000BD010000}"/>
    <hyperlink ref="AE171" r:id="rId290" xr:uid="{00000000-0004-0000-0000-0000BF010000}"/>
    <hyperlink ref="AA172" r:id="rId291" xr:uid="{00000000-0004-0000-0000-0000C1010000}"/>
    <hyperlink ref="AC172" r:id="rId292" xr:uid="{00000000-0004-0000-0000-0000C2010000}"/>
    <hyperlink ref="AE172" r:id="rId293" xr:uid="{00000000-0004-0000-0000-0000C3010000}"/>
    <hyperlink ref="AE173" r:id="rId294" xr:uid="{00000000-0004-0000-0000-0000C7010000}"/>
    <hyperlink ref="AA174" r:id="rId295" xr:uid="{00000000-0004-0000-0000-0000C9010000}"/>
    <hyperlink ref="AA175" r:id="rId296" xr:uid="{00000000-0004-0000-0000-0000CA010000}"/>
    <hyperlink ref="AA176" r:id="rId297" xr:uid="{00000000-0004-0000-0000-0000CC010000}"/>
    <hyperlink ref="AC176" r:id="rId298" xr:uid="{00000000-0004-0000-0000-0000CD010000}"/>
    <hyperlink ref="AE176" r:id="rId299" xr:uid="{00000000-0004-0000-0000-0000CE010000}"/>
    <hyperlink ref="AA177" r:id="rId300" xr:uid="{00000000-0004-0000-0000-0000CF010000}"/>
    <hyperlink ref="AA178" r:id="rId301" xr:uid="{00000000-0004-0000-0000-0000D0010000}"/>
    <hyperlink ref="AE179" r:id="rId302" xr:uid="{00000000-0004-0000-0000-0000D2010000}"/>
    <hyperlink ref="AA180" r:id="rId303" xr:uid="{00000000-0004-0000-0000-0000D4010000}"/>
    <hyperlink ref="AE180" r:id="rId304" xr:uid="{00000000-0004-0000-0000-0000D5010000}"/>
    <hyperlink ref="AE181" r:id="rId305" xr:uid="{00000000-0004-0000-0000-0000D7010000}"/>
    <hyperlink ref="AA182" r:id="rId306" xr:uid="{00000000-0004-0000-0000-0000D9010000}"/>
    <hyperlink ref="AC182" r:id="rId307" xr:uid="{00000000-0004-0000-0000-0000DA010000}"/>
    <hyperlink ref="AE182" r:id="rId308" xr:uid="{00000000-0004-0000-0000-0000DB010000}"/>
    <hyperlink ref="AA183" r:id="rId309" xr:uid="{00000000-0004-0000-0000-0000DD010000}"/>
    <hyperlink ref="AC183" r:id="rId310" xr:uid="{00000000-0004-0000-0000-0000DE010000}"/>
    <hyperlink ref="AE183" r:id="rId311" xr:uid="{00000000-0004-0000-0000-0000DF010000}"/>
    <hyperlink ref="AE184" r:id="rId312" xr:uid="{00000000-0004-0000-0000-0000E1010000}"/>
    <hyperlink ref="AA185" r:id="rId313" xr:uid="{00000000-0004-0000-0000-0000E3010000}"/>
    <hyperlink ref="AC185" r:id="rId314" xr:uid="{00000000-0004-0000-0000-0000E4010000}"/>
    <hyperlink ref="AE185" r:id="rId315" xr:uid="{00000000-0004-0000-0000-0000E5010000}"/>
    <hyperlink ref="AE186" r:id="rId316" xr:uid="{00000000-0004-0000-0000-0000E7010000}"/>
    <hyperlink ref="AA187" r:id="rId317" xr:uid="{00000000-0004-0000-0000-0000E8010000}"/>
    <hyperlink ref="AA188" r:id="rId318" xr:uid="{00000000-0004-0000-0000-0000E9010000}"/>
    <hyperlink ref="AE189" r:id="rId319" xr:uid="{00000000-0004-0000-0000-0000EB010000}"/>
    <hyperlink ref="AA190" r:id="rId320" xr:uid="{00000000-0004-0000-0000-0000ED010000}"/>
    <hyperlink ref="AC190" r:id="rId321" xr:uid="{00000000-0004-0000-0000-0000EE010000}"/>
    <hyperlink ref="AE190" r:id="rId322" xr:uid="{00000000-0004-0000-0000-0000EF010000}"/>
    <hyperlink ref="AA191" r:id="rId323" xr:uid="{00000000-0004-0000-0000-0000F0010000}"/>
    <hyperlink ref="AA192" r:id="rId324" xr:uid="{00000000-0004-0000-0000-0000F1010000}"/>
    <hyperlink ref="AA193" r:id="rId325" xr:uid="{00000000-0004-0000-0000-0000F3010000}"/>
    <hyperlink ref="AC193" r:id="rId326" xr:uid="{00000000-0004-0000-0000-0000F4010000}"/>
    <hyperlink ref="AE193" r:id="rId327" xr:uid="{00000000-0004-0000-0000-0000F5010000}"/>
    <hyperlink ref="AE194" r:id="rId328" xr:uid="{00000000-0004-0000-0000-0000F7010000}"/>
    <hyperlink ref="AE195" r:id="rId329" xr:uid="{00000000-0004-0000-0000-0000F9010000}"/>
    <hyperlink ref="AE196" r:id="rId330" xr:uid="{00000000-0004-0000-0000-0000FB010000}"/>
    <hyperlink ref="AA197" r:id="rId331" xr:uid="{00000000-0004-0000-0000-0000FC010000}"/>
    <hyperlink ref="AE197" r:id="rId332" xr:uid="{00000000-0004-0000-0000-0000FD010000}"/>
    <hyperlink ref="AE198" r:id="rId333" xr:uid="{00000000-0004-0000-0000-0000FF010000}"/>
    <hyperlink ref="AA199" r:id="rId334" xr:uid="{00000000-0004-0000-0000-000001020000}"/>
    <hyperlink ref="AC199" r:id="rId335" xr:uid="{00000000-0004-0000-0000-000002020000}"/>
    <hyperlink ref="AE199" r:id="rId336" xr:uid="{00000000-0004-0000-0000-000003020000}"/>
    <hyperlink ref="AA200" r:id="rId337" xr:uid="{00000000-0004-0000-0000-000005020000}"/>
    <hyperlink ref="AA201" r:id="rId338" xr:uid="{00000000-0004-0000-0000-000007020000}"/>
    <hyperlink ref="AA202" r:id="rId339" xr:uid="{00000000-0004-0000-0000-000009020000}"/>
    <hyperlink ref="AA203" r:id="rId340" xr:uid="{00000000-0004-0000-0000-00000B020000}"/>
    <hyperlink ref="AC203" r:id="rId341" xr:uid="{00000000-0004-0000-0000-00000C020000}"/>
    <hyperlink ref="AE203" r:id="rId342" xr:uid="{00000000-0004-0000-0000-00000D020000}"/>
    <hyperlink ref="AE204" r:id="rId343" xr:uid="{00000000-0004-0000-0000-00000F020000}"/>
    <hyperlink ref="AA206" r:id="rId344" xr:uid="{00000000-0004-0000-0000-000013020000}"/>
    <hyperlink ref="AA207" r:id="rId345" xr:uid="{00000000-0004-0000-0000-000015020000}"/>
    <hyperlink ref="AC207" r:id="rId346" xr:uid="{00000000-0004-0000-0000-000016020000}"/>
    <hyperlink ref="AE207" r:id="rId347" xr:uid="{00000000-0004-0000-0000-000017020000}"/>
    <hyperlink ref="AA208" r:id="rId348" xr:uid="{00000000-0004-0000-0000-000019020000}"/>
    <hyperlink ref="AC208" r:id="rId349" xr:uid="{00000000-0004-0000-0000-00001A020000}"/>
    <hyperlink ref="AE208" r:id="rId350" xr:uid="{00000000-0004-0000-0000-00001B020000}"/>
    <hyperlink ref="AA209" r:id="rId351" xr:uid="{00000000-0004-0000-0000-00001D020000}"/>
    <hyperlink ref="AC209" r:id="rId352" xr:uid="{00000000-0004-0000-0000-00001E020000}"/>
    <hyperlink ref="AE209" r:id="rId353" xr:uid="{00000000-0004-0000-0000-00001F020000}"/>
    <hyperlink ref="AA210" r:id="rId354" xr:uid="{00000000-0004-0000-0000-000020020000}"/>
    <hyperlink ref="AE211" r:id="rId355" xr:uid="{00000000-0004-0000-0000-000022020000}"/>
    <hyperlink ref="AE212" r:id="rId356" xr:uid="{00000000-0004-0000-0000-000024020000}"/>
    <hyperlink ref="AE213" r:id="rId357" xr:uid="{00000000-0004-0000-0000-000026020000}"/>
    <hyperlink ref="AE214" r:id="rId358" xr:uid="{00000000-0004-0000-0000-000028020000}"/>
    <hyperlink ref="AE215" r:id="rId359" xr:uid="{00000000-0004-0000-0000-00002A020000}"/>
    <hyperlink ref="AE216" r:id="rId360" xr:uid="{00000000-0004-0000-0000-00002C020000}"/>
    <hyperlink ref="AE217" r:id="rId361" xr:uid="{00000000-0004-0000-0000-00002E020000}"/>
    <hyperlink ref="AA218" r:id="rId362" xr:uid="{00000000-0004-0000-0000-000030020000}"/>
    <hyperlink ref="AC218" r:id="rId363" xr:uid="{00000000-0004-0000-0000-000031020000}"/>
    <hyperlink ref="AE218" r:id="rId364" xr:uid="{00000000-0004-0000-0000-000032020000}"/>
    <hyperlink ref="AE219" r:id="rId365" xr:uid="{00000000-0004-0000-0000-000034020000}"/>
    <hyperlink ref="AE220" r:id="rId366" xr:uid="{00000000-0004-0000-0000-000036020000}"/>
    <hyperlink ref="AE221" r:id="rId367" xr:uid="{00000000-0004-0000-0000-000038020000}"/>
    <hyperlink ref="AA222" r:id="rId368" xr:uid="{00000000-0004-0000-0000-00003A020000}"/>
    <hyperlink ref="AC222" r:id="rId369" xr:uid="{00000000-0004-0000-0000-00003B020000}"/>
    <hyperlink ref="AE222" r:id="rId370" xr:uid="{00000000-0004-0000-0000-00003C020000}"/>
    <hyperlink ref="AE223" r:id="rId371" xr:uid="{00000000-0004-0000-0000-000040020000}"/>
    <hyperlink ref="AE224" r:id="rId372" xr:uid="{00000000-0004-0000-0000-000042020000}"/>
    <hyperlink ref="AE225" r:id="rId373" xr:uid="{00000000-0004-0000-0000-000044020000}"/>
    <hyperlink ref="AE226" r:id="rId374" xr:uid="{00000000-0004-0000-0000-000046020000}"/>
    <hyperlink ref="AE227" r:id="rId375" xr:uid="{00000000-0004-0000-0000-000048020000}"/>
    <hyperlink ref="AE228" r:id="rId376" xr:uid="{00000000-0004-0000-0000-00004A020000}"/>
    <hyperlink ref="AE229" r:id="rId377" xr:uid="{00000000-0004-0000-0000-00004C020000}"/>
    <hyperlink ref="AE230" r:id="rId378" xr:uid="{00000000-0004-0000-0000-00004E020000}"/>
    <hyperlink ref="AA231" r:id="rId379" xr:uid="{00000000-0004-0000-0000-000050020000}"/>
    <hyperlink ref="AC231" r:id="rId380" xr:uid="{00000000-0004-0000-0000-000051020000}"/>
    <hyperlink ref="AE231" r:id="rId381" xr:uid="{00000000-0004-0000-0000-000052020000}"/>
    <hyperlink ref="AE232" r:id="rId382" xr:uid="{00000000-0004-0000-0000-000054020000}"/>
    <hyperlink ref="AE233" r:id="rId383" xr:uid="{00000000-0004-0000-0000-000056020000}"/>
    <hyperlink ref="AE234" r:id="rId384" xr:uid="{00000000-0004-0000-0000-000058020000}"/>
    <hyperlink ref="AE235" r:id="rId385" xr:uid="{00000000-0004-0000-0000-00005A020000}"/>
    <hyperlink ref="AE236" r:id="rId386" xr:uid="{00000000-0004-0000-0000-00005C020000}"/>
    <hyperlink ref="AE237" r:id="rId387" xr:uid="{00000000-0004-0000-0000-00005E020000}"/>
    <hyperlink ref="AA238" r:id="rId388" xr:uid="{00000000-0004-0000-0000-000060020000}"/>
    <hyperlink ref="AC238" r:id="rId389" xr:uid="{00000000-0004-0000-0000-000061020000}"/>
    <hyperlink ref="AE238" r:id="rId390" xr:uid="{00000000-0004-0000-0000-000062020000}"/>
    <hyperlink ref="AA239" r:id="rId391" xr:uid="{00000000-0004-0000-0000-000064020000}"/>
    <hyperlink ref="AA240" r:id="rId392" xr:uid="{00000000-0004-0000-0000-000065020000}"/>
    <hyperlink ref="AE240" r:id="rId393" xr:uid="{00000000-0004-0000-0000-000066020000}"/>
    <hyperlink ref="AE241" r:id="rId394" xr:uid="{00000000-0004-0000-0000-000068020000}"/>
    <hyperlink ref="AA242" r:id="rId395" xr:uid="{00000000-0004-0000-0000-000069020000}"/>
    <hyperlink ref="AA243" r:id="rId396" xr:uid="{00000000-0004-0000-0000-00006B020000}"/>
    <hyperlink ref="AC243" r:id="rId397" xr:uid="{00000000-0004-0000-0000-00006C020000}"/>
    <hyperlink ref="AE243" r:id="rId398" xr:uid="{00000000-0004-0000-0000-00006D020000}"/>
    <hyperlink ref="AE244" r:id="rId399" xr:uid="{00000000-0004-0000-0000-00006F020000}"/>
    <hyperlink ref="AE245" r:id="rId400" xr:uid="{00000000-0004-0000-0000-000071020000}"/>
    <hyperlink ref="AE246" r:id="rId401" xr:uid="{00000000-0004-0000-0000-000073020000}"/>
    <hyperlink ref="AE247" r:id="rId402" xr:uid="{00000000-0004-0000-0000-000075020000}"/>
    <hyperlink ref="AA248" r:id="rId403" xr:uid="{00000000-0004-0000-0000-000077020000}"/>
    <hyperlink ref="AC248" r:id="rId404" xr:uid="{00000000-0004-0000-0000-000078020000}"/>
    <hyperlink ref="AE248" r:id="rId405" xr:uid="{00000000-0004-0000-0000-000079020000}"/>
    <hyperlink ref="AE249" r:id="rId406" xr:uid="{00000000-0004-0000-0000-00007B020000}"/>
    <hyperlink ref="AA251" r:id="rId407" xr:uid="{00000000-0004-0000-0000-00007F020000}"/>
    <hyperlink ref="AE252" r:id="rId408" xr:uid="{00000000-0004-0000-0000-000081020000}"/>
    <hyperlink ref="AE253" r:id="rId409" xr:uid="{00000000-0004-0000-0000-000083020000}"/>
    <hyperlink ref="AE254" r:id="rId410" xr:uid="{00000000-0004-0000-0000-000085020000}"/>
    <hyperlink ref="AE255" r:id="rId411" xr:uid="{00000000-0004-0000-0000-000087020000}"/>
    <hyperlink ref="AA256" r:id="rId412" xr:uid="{00000000-0004-0000-0000-000089020000}"/>
    <hyperlink ref="AC256" r:id="rId413" xr:uid="{00000000-0004-0000-0000-00008A020000}"/>
    <hyperlink ref="AE256" r:id="rId414" xr:uid="{00000000-0004-0000-0000-00008B020000}"/>
    <hyperlink ref="AE257" r:id="rId415" xr:uid="{00000000-0004-0000-0000-00008D020000}"/>
    <hyperlink ref="AE258" r:id="rId416" xr:uid="{00000000-0004-0000-0000-00008F020000}"/>
    <hyperlink ref="AE259" r:id="rId417" xr:uid="{00000000-0004-0000-0000-000091020000}"/>
    <hyperlink ref="AA260" r:id="rId418" xr:uid="{00000000-0004-0000-0000-000093020000}"/>
    <hyperlink ref="AC260" r:id="rId419" xr:uid="{00000000-0004-0000-0000-000094020000}"/>
    <hyperlink ref="AE260" r:id="rId420" xr:uid="{00000000-0004-0000-0000-000095020000}"/>
    <hyperlink ref="AE261" r:id="rId421" xr:uid="{00000000-0004-0000-0000-000097020000}"/>
    <hyperlink ref="AE262" r:id="rId422" xr:uid="{00000000-0004-0000-0000-000099020000}"/>
    <hyperlink ref="AE263" r:id="rId423" xr:uid="{00000000-0004-0000-0000-00009B020000}"/>
    <hyperlink ref="AE264" r:id="rId424" xr:uid="{00000000-0004-0000-0000-00009F020000}"/>
    <hyperlink ref="AA265" r:id="rId425" xr:uid="{00000000-0004-0000-0000-0000A1020000}"/>
    <hyperlink ref="AC265" r:id="rId426" xr:uid="{00000000-0004-0000-0000-0000A2020000}"/>
    <hyperlink ref="AE265" r:id="rId427" xr:uid="{00000000-0004-0000-0000-0000A3020000}"/>
    <hyperlink ref="AA266" r:id="rId428" xr:uid="{00000000-0004-0000-0000-0000A5020000}"/>
    <hyperlink ref="AE267" r:id="rId429" xr:uid="{00000000-0004-0000-0000-0000A7020000}"/>
    <hyperlink ref="AE268" r:id="rId430" xr:uid="{00000000-0004-0000-0000-0000A9020000}"/>
    <hyperlink ref="AE269" r:id="rId431" xr:uid="{00000000-0004-0000-0000-0000AB020000}"/>
    <hyperlink ref="AA270" r:id="rId432" xr:uid="{00000000-0004-0000-0000-0000AD020000}"/>
    <hyperlink ref="AC270" r:id="rId433" xr:uid="{00000000-0004-0000-0000-0000AE020000}"/>
    <hyperlink ref="AE270" r:id="rId434" xr:uid="{00000000-0004-0000-0000-0000AF020000}"/>
    <hyperlink ref="AA271" r:id="rId435" xr:uid="{00000000-0004-0000-0000-0000B1020000}"/>
    <hyperlink ref="AE271" r:id="rId436" xr:uid="{00000000-0004-0000-0000-0000B2020000}"/>
    <hyperlink ref="AE272" r:id="rId437" xr:uid="{00000000-0004-0000-0000-0000B4020000}"/>
    <hyperlink ref="AA273" r:id="rId438" xr:uid="{00000000-0004-0000-0000-0000B6020000}"/>
    <hyperlink ref="AC273" r:id="rId439" xr:uid="{00000000-0004-0000-0000-0000B7020000}"/>
    <hyperlink ref="AE273" r:id="rId440" xr:uid="{00000000-0004-0000-0000-0000B8020000}"/>
    <hyperlink ref="AE274" r:id="rId441" xr:uid="{00000000-0004-0000-0000-0000BA020000}"/>
    <hyperlink ref="AE275" r:id="rId442" xr:uid="{00000000-0004-0000-0000-0000BC020000}"/>
    <hyperlink ref="AE276" r:id="rId443" xr:uid="{00000000-0004-0000-0000-0000BE020000}"/>
    <hyperlink ref="AA277" r:id="rId444" xr:uid="{00000000-0004-0000-0000-0000C0020000}"/>
    <hyperlink ref="AC277" r:id="rId445" xr:uid="{00000000-0004-0000-0000-0000C1020000}"/>
    <hyperlink ref="AE277" r:id="rId446" xr:uid="{00000000-0004-0000-0000-0000C2020000}"/>
    <hyperlink ref="AE278" r:id="rId447" xr:uid="{00000000-0004-0000-0000-0000C4020000}"/>
    <hyperlink ref="AE279" r:id="rId448" xr:uid="{00000000-0004-0000-0000-0000C6020000}"/>
    <hyperlink ref="AE280" r:id="rId449" xr:uid="{00000000-0004-0000-0000-0000CA020000}"/>
    <hyperlink ref="AA281" r:id="rId450" xr:uid="{00000000-0004-0000-0000-0000CC020000}"/>
    <hyperlink ref="AC281" r:id="rId451" xr:uid="{00000000-0004-0000-0000-0000CD020000}"/>
    <hyperlink ref="AE281" r:id="rId452" xr:uid="{00000000-0004-0000-0000-0000CE020000}"/>
    <hyperlink ref="AE282" r:id="rId453" xr:uid="{00000000-0004-0000-0000-0000D0020000}"/>
    <hyperlink ref="AA283" r:id="rId454" xr:uid="{00000000-0004-0000-0000-0000D2020000}"/>
    <hyperlink ref="AE283" r:id="rId455" xr:uid="{00000000-0004-0000-0000-0000D3020000}"/>
    <hyperlink ref="AE284" r:id="rId456" xr:uid="{00000000-0004-0000-0000-0000D5020000}"/>
    <hyperlink ref="AE285" r:id="rId457" xr:uid="{00000000-0004-0000-0000-0000D7020000}"/>
    <hyperlink ref="AE250" r:id="rId458" xr:uid="{00000000-0004-0000-0000-00007D02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zoomScaleNormal="100" workbookViewId="0"/>
  </sheetViews>
  <sheetFormatPr baseColWidth="10" defaultColWidth="8.7109375" defaultRowHeight="15" x14ac:dyDescent="0.25"/>
  <cols>
    <col min="1" max="2" width="20" customWidth="1"/>
    <col min="3" max="3" width="22" customWidth="1"/>
    <col min="4" max="5" width="26" customWidth="1"/>
    <col min="6" max="6" width="28" customWidth="1"/>
    <col min="7" max="7" width="30" customWidth="1"/>
  </cols>
  <sheetData>
    <row r="1" spans="1:7" ht="15.75" x14ac:dyDescent="0.25">
      <c r="A1" s="12" t="s">
        <v>1538</v>
      </c>
    </row>
    <row r="3" spans="1:7" ht="31.5" customHeight="1" x14ac:dyDescent="0.25">
      <c r="A3" s="13" t="s">
        <v>2</v>
      </c>
      <c r="B3" s="13" t="s">
        <v>1539</v>
      </c>
      <c r="C3" s="13" t="s">
        <v>1540</v>
      </c>
      <c r="D3" s="13" t="s">
        <v>1541</v>
      </c>
      <c r="E3" s="13" t="s">
        <v>1542</v>
      </c>
      <c r="F3" s="13" t="s">
        <v>1543</v>
      </c>
      <c r="G3" s="13" t="s">
        <v>1544</v>
      </c>
    </row>
    <row r="4" spans="1:7" x14ac:dyDescent="0.25">
      <c r="A4" s="14" t="s">
        <v>35</v>
      </c>
      <c r="B4" s="15">
        <f>COUNTIF(Stations!$C$2:$C$286,$A4)</f>
        <v>156</v>
      </c>
      <c r="C4" s="15">
        <f>COUNTIFS(Stations!$C$2:$C$286,$A4,Stations!$N$2:$N$286,"&gt;0")</f>
        <v>156</v>
      </c>
      <c r="D4" s="15" t="e">
        <f>ROUND(SUMIF(Stations!$C$2:$C$286,$A4,Stations!#REF!)/$B4,0)</f>
        <v>#REF!</v>
      </c>
      <c r="E4" s="15">
        <f>ROUND(SUMIF(Stations!$C$2:$C$286,$A4,Stations!$K$2:$K$286)/$B4,0)</f>
        <v>1371</v>
      </c>
      <c r="F4" s="15">
        <f>IF($C4=0,"",SUMPRODUCT(MAX((Stations!$C$2:$C$286=$A4)*Stations!$N$2:$N$286)))</f>
        <v>3511</v>
      </c>
      <c r="G4" s="15">
        <f>COUNTIFS(Stations!$C$2:$C$286,$A4,Stations!$N$2:$N$286,"&gt;=2000")</f>
        <v>121</v>
      </c>
    </row>
    <row r="5" spans="1:7" x14ac:dyDescent="0.25">
      <c r="A5" s="14" t="s">
        <v>778</v>
      </c>
      <c r="B5" s="15">
        <f>COUNTIF(Stations!$C$2:$C$286,$A5)</f>
        <v>54</v>
      </c>
      <c r="C5" s="15">
        <f>COUNTIFS(Stations!$C$2:$C$286,$A5,Stations!$N$2:$N$286,"&gt;0")</f>
        <v>54</v>
      </c>
      <c r="D5" s="15" t="e">
        <f>ROUND(SUMIF(Stations!$C$2:$C$286,$A5,Stations!#REF!)/$B5,0)</f>
        <v>#REF!</v>
      </c>
      <c r="E5" s="15">
        <f>ROUND(SUMIF(Stations!$C$2:$C$286,$A5,Stations!$K$2:$K$286)/$B5,0)</f>
        <v>1531</v>
      </c>
      <c r="F5" s="15">
        <f>IF($C5=0,"",SUMPRODUCT(MAX((Stations!$C$2:$C$286=$A5)*Stations!$N$2:$N$286)))</f>
        <v>2805</v>
      </c>
      <c r="G5" s="15">
        <f>COUNTIFS(Stations!$C$2:$C$286,$A5,Stations!$N$2:$N$286,"&gt;=2000")</f>
        <v>41</v>
      </c>
    </row>
    <row r="6" spans="1:7" x14ac:dyDescent="0.25">
      <c r="A6" s="14" t="s">
        <v>1065</v>
      </c>
      <c r="B6" s="15">
        <f>COUNTIF(Stations!$C$2:$C$286,$A6)</f>
        <v>11</v>
      </c>
      <c r="C6" s="15">
        <f>COUNTIFS(Stations!$C$2:$C$286,$A6,Stations!$N$2:$N$286,"&gt;0")</f>
        <v>11</v>
      </c>
      <c r="D6" s="15" t="e">
        <f>ROUND(SUMIF(Stations!$C$2:$C$286,$A6,Stations!#REF!)/$B6,0)</f>
        <v>#REF!</v>
      </c>
      <c r="E6" s="15">
        <f>ROUND(SUMIF(Stations!$C$2:$C$286,$A6,Stations!$K$2:$K$286)/$B6,0)</f>
        <v>931</v>
      </c>
      <c r="F6" s="15">
        <f>IF($C6=0,"",SUMPRODUCT(MAX((Stations!$C$2:$C$286=$A6)*Stations!$N$2:$N$286)))</f>
        <v>1659</v>
      </c>
      <c r="G6" s="15">
        <f>COUNTIFS(Stations!$C$2:$C$286,$A6,Stations!$N$2:$N$286,"&gt;=2000")</f>
        <v>0</v>
      </c>
    </row>
    <row r="7" spans="1:7" x14ac:dyDescent="0.25">
      <c r="A7" s="14" t="s">
        <v>1134</v>
      </c>
      <c r="B7" s="15">
        <f>COUNTIF(Stations!$C$2:$C$286,$A7)</f>
        <v>14</v>
      </c>
      <c r="C7" s="15">
        <f>COUNTIFS(Stations!$C$2:$C$286,$A7,Stations!$N$2:$N$286,"&gt;0")</f>
        <v>13</v>
      </c>
      <c r="D7" s="15" t="e">
        <f>ROUND(SUMIF(Stations!$C$2:$C$286,$A7,Stations!#REF!)/$B7,0)</f>
        <v>#REF!</v>
      </c>
      <c r="E7" s="15">
        <f>ROUND(SUMIF(Stations!$C$2:$C$286,$A7,Stations!$K$2:$K$286)/$B7,0)</f>
        <v>1075</v>
      </c>
      <c r="F7" s="15">
        <f>IF($C7=0,"",SUMPRODUCT(MAX((Stations!$C$2:$C$286=$A7)*Stations!$N$2:$N$286)))</f>
        <v>1834</v>
      </c>
      <c r="G7" s="15">
        <f>COUNTIFS(Stations!$C$2:$C$286,$A7,Stations!$N$2:$N$286,"&gt;=2000")</f>
        <v>0</v>
      </c>
    </row>
    <row r="8" spans="1:7" x14ac:dyDescent="0.25">
      <c r="A8" s="14" t="s">
        <v>1226</v>
      </c>
      <c r="B8" s="15">
        <f>COUNTIF(Stations!$C$2:$C$286,$A8)</f>
        <v>34</v>
      </c>
      <c r="C8" s="15">
        <f>COUNTIFS(Stations!$C$2:$C$286,$A8,Stations!$N$2:$N$286,"&gt;0")</f>
        <v>34</v>
      </c>
      <c r="D8" s="15" t="e">
        <f>ROUND(SUMIF(Stations!$C$2:$C$286,$A8,Stations!#REF!)/$B8,0)</f>
        <v>#REF!</v>
      </c>
      <c r="E8" s="15">
        <f>ROUND(SUMIF(Stations!$C$2:$C$286,$A8,Stations!$K$2:$K$286)/$B8,0)</f>
        <v>1386</v>
      </c>
      <c r="F8" s="15">
        <f>IF($C8=0,"",SUMPRODUCT(MAX((Stations!$C$2:$C$286=$A8)*Stations!$N$2:$N$286)))</f>
        <v>2530</v>
      </c>
      <c r="G8" s="15">
        <f>COUNTIFS(Stations!$C$2:$C$286,$A8,Stations!$N$2:$N$286,"&gt;=2000")</f>
        <v>27</v>
      </c>
    </row>
    <row r="9" spans="1:7" x14ac:dyDescent="0.25">
      <c r="A9" s="14" t="s">
        <v>1429</v>
      </c>
      <c r="B9" s="15">
        <f>COUNTIF(Stations!$C$2:$C$286,$A9)</f>
        <v>16</v>
      </c>
      <c r="C9" s="15">
        <f>COUNTIFS(Stations!$C$2:$C$286,$A9,Stations!$N$2:$N$286,"&gt;0")</f>
        <v>16</v>
      </c>
      <c r="D9" s="15" t="e">
        <f>ROUND(SUMIF(Stations!$C$2:$C$286,$A9,Stations!#REF!)/$B9,0)</f>
        <v>#REF!</v>
      </c>
      <c r="E9" s="15">
        <f>ROUND(SUMIF(Stations!$C$2:$C$286,$A9,Stations!$K$2:$K$286)/$B9,0)</f>
        <v>858</v>
      </c>
      <c r="F9" s="15">
        <f>IF($C9=0,"",SUMPRODUCT(MAX((Stations!$C$2:$C$286=$A9)*Stations!$N$2:$N$286)))</f>
        <v>1346</v>
      </c>
      <c r="G9" s="15">
        <f>COUNTIFS(Stations!$C$2:$C$286,$A9,Stations!$N$2:$N$286,"&gt;=2000")</f>
        <v>0</v>
      </c>
    </row>
    <row r="10" spans="1:7" x14ac:dyDescent="0.25">
      <c r="A10" s="16" t="s">
        <v>1545</v>
      </c>
      <c r="B10" s="17">
        <f>SUM(B4:B9)</f>
        <v>285</v>
      </c>
      <c r="C10" s="17">
        <f>SUM(C4:C9)</f>
        <v>284</v>
      </c>
      <c r="D10" s="17" t="e">
        <f>ROUND(SUM(Stations!#REF!)/$B10,0)</f>
        <v>#REF!</v>
      </c>
      <c r="E10" s="17">
        <f>ROUND(SUM(Stations!$K$2:$K$286)/$B10,0)</f>
        <v>1343</v>
      </c>
      <c r="F10" s="17">
        <f>ROUND(MAX(Stations!$N$2:$N$286),0)</f>
        <v>3511</v>
      </c>
      <c r="G10" s="17">
        <f>SUM(G4:G9)</f>
        <v>189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zoomScaleNormal="100" workbookViewId="0"/>
  </sheetViews>
  <sheetFormatPr baseColWidth="10" defaultColWidth="8.7109375" defaultRowHeight="15" x14ac:dyDescent="0.25"/>
  <cols>
    <col min="1" max="1" width="30" customWidth="1"/>
    <col min="2" max="2" width="105" customWidth="1"/>
  </cols>
  <sheetData>
    <row r="1" spans="1:2" ht="15.75" x14ac:dyDescent="0.25">
      <c r="A1" s="12" t="s">
        <v>1546</v>
      </c>
    </row>
    <row r="3" spans="1:2" x14ac:dyDescent="0.25">
      <c r="A3" s="16" t="s">
        <v>1547</v>
      </c>
      <c r="B3" s="14" t="s">
        <v>1548</v>
      </c>
    </row>
    <row r="4" spans="1:2" x14ac:dyDescent="0.25">
      <c r="A4" s="16" t="s">
        <v>1549</v>
      </c>
      <c r="B4" s="18">
        <v>48.8566</v>
      </c>
    </row>
    <row r="5" spans="1:2" x14ac:dyDescent="0.25">
      <c r="A5" s="16" t="s">
        <v>1550</v>
      </c>
      <c r="B5" s="18">
        <v>2.3521999999999998</v>
      </c>
    </row>
    <row r="6" spans="1:2" x14ac:dyDescent="0.25">
      <c r="A6" s="16" t="s">
        <v>1551</v>
      </c>
      <c r="B6" s="18">
        <v>6371</v>
      </c>
    </row>
    <row r="8" spans="1:2" ht="45.75" customHeight="1" x14ac:dyDescent="0.25">
      <c r="A8" s="16" t="s">
        <v>1552</v>
      </c>
      <c r="B8" s="19" t="s">
        <v>1553</v>
      </c>
    </row>
    <row r="9" spans="1:2" ht="45.75" customHeight="1" x14ac:dyDescent="0.25">
      <c r="A9" s="16" t="s">
        <v>10</v>
      </c>
      <c r="B9" s="19" t="s">
        <v>1554</v>
      </c>
    </row>
    <row r="10" spans="1:2" ht="45.75" customHeight="1" x14ac:dyDescent="0.25">
      <c r="A10" s="16" t="s">
        <v>11</v>
      </c>
      <c r="B10" s="19" t="s">
        <v>1555</v>
      </c>
    </row>
    <row r="11" spans="1:2" ht="45.75" customHeight="1" x14ac:dyDescent="0.25">
      <c r="A11" s="16" t="s">
        <v>1556</v>
      </c>
      <c r="B11" s="19" t="s">
        <v>1557</v>
      </c>
    </row>
    <row r="12" spans="1:2" ht="45.75" customHeight="1" x14ac:dyDescent="0.25">
      <c r="A12" s="16" t="s">
        <v>1558</v>
      </c>
      <c r="B12" s="19" t="s">
        <v>1559</v>
      </c>
    </row>
    <row r="13" spans="1:2" ht="45.75" customHeight="1" x14ac:dyDescent="0.25">
      <c r="A13" s="16" t="s">
        <v>1560</v>
      </c>
      <c r="B13" s="19" t="s">
        <v>1561</v>
      </c>
    </row>
    <row r="14" spans="1:2" ht="45.75" customHeight="1" x14ac:dyDescent="0.25">
      <c r="A14" s="16" t="s">
        <v>27</v>
      </c>
      <c r="B14" s="19" t="s">
        <v>1562</v>
      </c>
    </row>
    <row r="15" spans="1:2" ht="45.75" customHeight="1" x14ac:dyDescent="0.25">
      <c r="A15" s="16" t="s">
        <v>1563</v>
      </c>
      <c r="B15" s="19" t="s">
        <v>1564</v>
      </c>
    </row>
    <row r="16" spans="1:2" ht="45.75" customHeight="1" x14ac:dyDescent="0.25">
      <c r="A16" s="16" t="s">
        <v>1565</v>
      </c>
      <c r="B16" s="19" t="s">
        <v>1566</v>
      </c>
    </row>
    <row r="17" spans="1:2" ht="45.75" customHeight="1" x14ac:dyDescent="0.25">
      <c r="A17" s="16" t="s">
        <v>1567</v>
      </c>
      <c r="B17" s="19" t="s">
        <v>1568</v>
      </c>
    </row>
    <row r="18" spans="1:2" ht="45.75" customHeight="1" x14ac:dyDescent="0.25">
      <c r="A18" s="16" t="s">
        <v>1569</v>
      </c>
      <c r="B18" s="19" t="s">
        <v>1570</v>
      </c>
    </row>
    <row r="19" spans="1:2" ht="45.75" customHeight="1" x14ac:dyDescent="0.25">
      <c r="A19" s="16" t="s">
        <v>29</v>
      </c>
      <c r="B19" s="19" t="s">
        <v>1571</v>
      </c>
    </row>
    <row r="20" spans="1:2" ht="45.75" customHeight="1" x14ac:dyDescent="0.25">
      <c r="A20" s="16" t="s">
        <v>1572</v>
      </c>
      <c r="B20" s="19" t="s">
        <v>1573</v>
      </c>
    </row>
    <row r="21" spans="1:2" ht="45.75" customHeight="1" x14ac:dyDescent="0.25">
      <c r="A21" s="16" t="s">
        <v>1574</v>
      </c>
      <c r="B21" s="19" t="s">
        <v>1575</v>
      </c>
    </row>
    <row r="22" spans="1:2" ht="45.75" customHeight="1" x14ac:dyDescent="0.25">
      <c r="A22" s="16" t="s">
        <v>1576</v>
      </c>
      <c r="B22" s="19" t="s">
        <v>1577</v>
      </c>
    </row>
    <row r="23" spans="1:2" ht="45.75" customHeight="1" x14ac:dyDescent="0.25">
      <c r="A23" s="16" t="s">
        <v>1578</v>
      </c>
      <c r="B23" s="19" t="s">
        <v>1579</v>
      </c>
    </row>
    <row r="24" spans="1:2" ht="45.75" customHeight="1" x14ac:dyDescent="0.25">
      <c r="A24" s="16" t="s">
        <v>1580</v>
      </c>
      <c r="B24" s="19" t="s">
        <v>1581</v>
      </c>
    </row>
    <row r="25" spans="1:2" ht="45.75" customHeight="1" x14ac:dyDescent="0.25">
      <c r="A25" s="16" t="s">
        <v>1582</v>
      </c>
      <c r="B25" s="19" t="s">
        <v>1583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Stations</vt:lpstr>
      <vt:lpstr>Synthèse</vt:lpstr>
      <vt:lpstr>Paramètres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Adrien Raffray</cp:lastModifiedBy>
  <cp:revision>0</cp:revision>
  <dcterms:created xsi:type="dcterms:W3CDTF">2026-08-19T08:04:44Z</dcterms:created>
  <dcterms:modified xsi:type="dcterms:W3CDTF">2026-08-19T15:00:24Z</dcterms:modified>
  <dc:language>en-US</dc:language>
</cp:coreProperties>
</file>